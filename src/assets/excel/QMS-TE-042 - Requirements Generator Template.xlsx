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martfactoryie.sharepoint.com/sites/SmartFactoryTeamSite/Shared Documents/05-Clients/Alcon/"/>
    </mc:Choice>
  </mc:AlternateContent>
  <xr:revisionPtr revIDLastSave="0" documentId="8_{F0FD95C8-83FE-4862-BDE0-8B710275C616}" xr6:coauthVersionLast="47" xr6:coauthVersionMax="47" xr10:uidLastSave="{00000000-0000-0000-0000-000000000000}"/>
  <bookViews>
    <workbookView xWindow="-120" yWindow="-120" windowWidth="29040" windowHeight="15720" tabRatio="875" firstSheet="1" activeTab="1" xr2:uid="{26BB8AAE-B3C5-459C-B8F2-83C7A9A3924D}"/>
  </bookViews>
  <sheets>
    <sheet name="Home" sheetId="64" r:id="rId1"/>
    <sheet name="Project Description" sheetId="43" r:id="rId2"/>
    <sheet name="High Level Project Requirem" sheetId="67" r:id="rId3"/>
    <sheet name="Business Value &amp; Risks" sheetId="65" r:id="rId4"/>
    <sheet name="Plant Model" sheetId="59" r:id="rId5"/>
    <sheet name="Field Devices" sheetId="62" r:id="rId6"/>
    <sheet name="Tags" sheetId="58" r:id="rId7"/>
    <sheet name="Dashboards" sheetId="63" r:id="rId8"/>
  </sheets>
  <externalReferences>
    <externalReference r:id="rId9"/>
  </externalReferences>
  <definedNames>
    <definedName name="_4Dpro_connectivity" comment="Sick">#REF!</definedName>
    <definedName name="_xlnm._FilterDatabase" localSheetId="5" hidden="1">'Field Devices'!$A$6:$P$12</definedName>
    <definedName name="_xlnm._FilterDatabase" localSheetId="4" hidden="1">'Plant Model'!$A$6:$G$47</definedName>
    <definedName name="_xlnm._FilterDatabase" localSheetId="1" hidden="1">'Project Description'!#REF!</definedName>
    <definedName name="_xlnm._FilterDatabase" localSheetId="6" hidden="1">Tags!$A$6:$D$11</definedName>
    <definedName name="Accessories" comment="Siemens">#REF!</definedName>
    <definedName name="Accessories_Rittal" comment="Rittal">#REF!</definedName>
    <definedName name="Adapters_and_distributors" comment="Sick">#REF!</definedName>
    <definedName name="Aeco" comment="Brand Category" localSheetId="0">#REF!</definedName>
    <definedName name="Aeco" comment="Brand Category">#REF!</definedName>
    <definedName name="Alarm" localSheetId="5">#REF!</definedName>
    <definedName name="Alarm">#REF!</definedName>
    <definedName name="Alarm_Type_Description">#REF!</definedName>
    <definedName name="Automation_Software" comment="Siemens">#REF!</definedName>
    <definedName name="Avio" comment="Brand Category" localSheetId="0">#REF!</definedName>
    <definedName name="Avio" comment="Brand Category">#REF!</definedName>
    <definedName name="Banner" comment="Brand Category" localSheetId="0">#REF!</definedName>
    <definedName name="Banner" comment="Brand Category">#REF!</definedName>
    <definedName name="Banner_Accessories" comment="Banner">#REF!</definedName>
    <definedName name="Box_PC" comment="Siemens" localSheetId="0">#REF!</definedName>
    <definedName name="Box_PC" comment="Siemens">#REF!</definedName>
    <definedName name="Cables_and_connectors" comment="Gopro">#REF!</definedName>
    <definedName name="Camera" comment="Gopro">#REF!</definedName>
    <definedName name="Circuits_Breakers" comment="Siemens">#REF!</definedName>
    <definedName name="Climate_Control" comment="Rittal">#REF!</definedName>
    <definedName name="Command_panel_housing_with_door_Stainless_steel" comment="Rittal">#REF!</definedName>
    <definedName name="Commercial_TV_LG" comment="Avio">#REF!</definedName>
    <definedName name="Compact_enclosures_AE" comment="Rittal">#REF!</definedName>
    <definedName name="Compact_Enclosures_Stainless_Steel" comment="Rittal">#REF!</definedName>
    <definedName name="Computer_Equipment" comment="Linespex">#REF!</definedName>
    <definedName name="CONNECTING_CABLES" comment="Siemens">#REF!</definedName>
    <definedName name="Counters">#REF!</definedName>
    <definedName name="Cover_Hinge" comment="Rittal">#REF!</definedName>
    <definedName name="Cover_Retainer" comment="Rittal">#REF!</definedName>
    <definedName name="CSE" localSheetId="0">#REF!</definedName>
    <definedName name="CSE">#REF!</definedName>
    <definedName name="Dell" comment="Brand Category" localSheetId="0">#REF!</definedName>
    <definedName name="Dell" comment="Brand Category">#REF!</definedName>
    <definedName name="Dell_Tablet" comment="Dell">#REF!</definedName>
    <definedName name="DIN_Rail" comment="RS">#REF!</definedName>
    <definedName name="Display_Hardware" comment="HP">#REF!</definedName>
    <definedName name="Downtime_Video_Analysis" comment="Mobile_Vision">#REF!</definedName>
    <definedName name="Exertis" comment="Brand Category" localSheetId="0">#REF!</definedName>
    <definedName name="Exertis" comment="Brand Category">#REF!</definedName>
    <definedName name="Exertis_Tablet" comment="Exertis">#REF!</definedName>
    <definedName name="Fibre_Optic_Sensors" comment="Keyence">#REF!</definedName>
    <definedName name="GE" comment="Brand Category" localSheetId="0">#REF!</definedName>
    <definedName name="GE" comment="Brand Category">#REF!</definedName>
    <definedName name="Gopro" comment="Brand Category" localSheetId="0">#REF!</definedName>
    <definedName name="Gopro" comment="Brand Category">#REF!</definedName>
    <definedName name="GTW_S7_1200_TYP001" comment="Standard Panels">#REF!</definedName>
    <definedName name="Hinges" comment="Rittal">#REF!</definedName>
    <definedName name="HP" comment="Brand Category" localSheetId="0">#REF!</definedName>
    <definedName name="HP" comment="Brand Category">#REF!</definedName>
    <definedName name="Hygienic_Design" comment="Rittal">#REF!</definedName>
    <definedName name="Hygienic_Design_Terminal_Boxes" comment="Rittal">#REF!</definedName>
    <definedName name="Image_based_code_readers" comment="Sick">#REF!</definedName>
    <definedName name="Inductive_Sensors" comment="Aeco">#REF!</definedName>
    <definedName name="Industrial_Ethernet" comment="Siemens">#REF!</definedName>
    <definedName name="Industrial_Monitors_and_Thin_Clients" comment="Siemens" localSheetId="0">#REF!</definedName>
    <definedName name="Industrial_Monitors_and_Thin_Clients" comment="Siemens">#REF!</definedName>
    <definedName name="Industrial_PC" comment="Siemens">#REF!</definedName>
    <definedName name="Industrial_Wireless_LAN" comment="Siemens">#REF!</definedName>
    <definedName name="Installing_and_testing">#REF!</definedName>
    <definedName name="Interface_adapters">#REF!</definedName>
    <definedName name="IWLAN_antennas" comment="Siemens">#REF!</definedName>
    <definedName name="Keyence" comment="Brand Category" localSheetId="0">#REF!</definedName>
    <definedName name="Keyence" comment="Brand Category">#REF!</definedName>
    <definedName name="KL_with_Gland_Plate" comment="Rittal">#REF!</definedName>
    <definedName name="KL_without_Gland_Plate" comment="Rittal">#REF!</definedName>
    <definedName name="Kunbus" localSheetId="0">#REF!</definedName>
    <definedName name="Kunbus">#REF!</definedName>
    <definedName name="Kunbus_Cumputer_Equipment">#REF!</definedName>
    <definedName name="Large_Format_Interactive_Displays" comment="Avio">#REF!</definedName>
    <definedName name="Laser_Sensors" comment="Keyence">#REF!</definedName>
    <definedName name="License_GE" comment="GE">#REF!</definedName>
    <definedName name="License_Linespex" comment="Linespex">#REF!</definedName>
    <definedName name="License_Matrikon" comment="Matrikon">#REF!</definedName>
    <definedName name="License_MDES" comment="MDES">#REF!</definedName>
    <definedName name="License_Microsoft" comment="Microsoft">#REF!</definedName>
    <definedName name="License_NDS" comment="NDS">#REF!</definedName>
    <definedName name="License_Siemens" comment="Siemens">#REF!</definedName>
    <definedName name="Lighting">#REF!</definedName>
    <definedName name="Line">#REF!</definedName>
    <definedName name="Linespex" comment="Brand Category" localSheetId="0">#REF!</definedName>
    <definedName name="Linespex" comment="Brand Category">#REF!</definedName>
    <definedName name="Matrikon" comment="Brand Category" localSheetId="0">#REF!</definedName>
    <definedName name="Matrikon" comment="Brand Category">#REF!</definedName>
    <definedName name="MCBs">#REF!</definedName>
    <definedName name="MDES" comment="Brand Category" localSheetId="0">#REF!</definedName>
    <definedName name="MDES" comment="Brand Category">#REF!</definedName>
    <definedName name="Metal_Gland_Plate" comment="Rittal">#REF!</definedName>
    <definedName name="Microsoft" comment="Brand Category" localSheetId="0">#REF!</definedName>
    <definedName name="Microsoft" comment="Brand Category">#REF!</definedName>
    <definedName name="Miscellaneous" comment="Siemens">#REF!</definedName>
    <definedName name="Mobile_Vision" comment="Brand Category" localSheetId="0">#REF!</definedName>
    <definedName name="Mobile_Vision" comment="Brand Category">#REF!</definedName>
    <definedName name="Mounting_Plates" comment="Rittal">#REF!</definedName>
    <definedName name="Nanobox" comment="Siemens">#REF!</definedName>
    <definedName name="NDS" comment="Brand Category" localSheetId="0">#REF!</definedName>
    <definedName name="NDS" comment="Brand Category">#REF!</definedName>
    <definedName name="Neutrik" localSheetId="0">#REF!</definedName>
    <definedName name="Neutrik">#REF!</definedName>
    <definedName name="Neutrik_Connectors">#REF!</definedName>
    <definedName name="Optical_Identification" comment="Siemens" localSheetId="0">#REF!</definedName>
    <definedName name="Optical_Identification" comment="Siemens">#REF!</definedName>
    <definedName name="Ordering_Data_Overview" comment="Siemens">#REF!</definedName>
    <definedName name="Photoelectric_sensors" comment="Sick">#REF!</definedName>
    <definedName name="Plastic_Gland_Plate" comment="Rittal">#REF!</definedName>
    <definedName name="Plug_connectors_and_cables" comment="Sick">#REF!</definedName>
    <definedName name="Polycarbonate_Enclosures_With_Knockout" comment="Rittal">#REF!</definedName>
    <definedName name="Polycarbonate_Enclosures_Without_Knockout" comment="Rittal">#REF!</definedName>
    <definedName name="Position_and_safety_switches">#REF!</definedName>
    <definedName name="Premium_Command_Panel_120mm_deep_IP69K" comment="Rittal">#REF!</definedName>
    <definedName name="_xlnm.Print_Titles" localSheetId="1">'Project Description'!$1:$1</definedName>
    <definedName name="PU">#REF!</definedName>
    <definedName name="Reason_Type_Description">#REF!</definedName>
    <definedName name="Reasons">#REF!</definedName>
    <definedName name="Rittal" comment="Brand Category" localSheetId="0">#REF!</definedName>
    <definedName name="Rittal" comment="Brand Category">#REF!</definedName>
    <definedName name="Role_List">#REF!</definedName>
    <definedName name="RS" comment="Brand Category" localSheetId="0">#REF!</definedName>
    <definedName name="RS" comment="Brand Category">#REF!</definedName>
    <definedName name="RS_Connectors">#REF!</definedName>
    <definedName name="Sick" comment="Brand Category" localSheetId="0">#REF!</definedName>
    <definedName name="Sick" comment="Brand Category">#REF!</definedName>
    <definedName name="Siemens" comment="Brand category" localSheetId="0">#REF!</definedName>
    <definedName name="Siemens" comment="Brand category">#REF!</definedName>
    <definedName name="SIMATIC_Industrial_automation_systems" comment="Siemens">#REF!</definedName>
    <definedName name="Sitop_Power_Supplies" comment="Siemens" localSheetId="0">#REF!</definedName>
    <definedName name="Sitop_Power_Supplies" comment="Siemens">#REF!</definedName>
    <definedName name="Sitop_uninterruptible_power_supply" comment="Siemens" localSheetId="0">#REF!</definedName>
    <definedName name="Sitop_uninterruptible_power_supply" comment="Siemens">#REF!</definedName>
    <definedName name="SmartFactory" comment="Brand Category">#REF!</definedName>
    <definedName name="Sources">#REF!</definedName>
    <definedName name="Stainless_Steel_IPC_Workstation">#REF!</definedName>
    <definedName name="Stainless_Steel_Keyboards_Accessories" comment="Wohr">#REF!</definedName>
    <definedName name="Standard_Panels" comment="SmartFactory">#REF!</definedName>
    <definedName name="System_components_for_Mobile_Panels" comment="Siemens">#REF!</definedName>
    <definedName name="Tablet_PC" comment="Siemens">#REF!</definedName>
    <definedName name="Touch_Buttons" comment="Banner">#REF!</definedName>
    <definedName name="Tower_Lights" comment="Banner">#REF!</definedName>
    <definedName name="Treadwell" localSheetId="0">#REF!</definedName>
    <definedName name="Treadwell">#REF!</definedName>
    <definedName name="Type_of_Line">#REF!</definedName>
    <definedName name="Value_Stream">#REF!</definedName>
    <definedName name="Vendors">#REF!</definedName>
    <definedName name="Wireless_Controllers" comment="Banner">#REF!</definedName>
    <definedName name="Wohr" comment="Brand Category" localSheetId="0">#REF!</definedName>
    <definedName name="Wohr" comment="Brand Category">#REF!</definedName>
    <definedName name="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3" l="1"/>
  <c r="B2" i="63"/>
  <c r="B1" i="63"/>
  <c r="B3" i="58"/>
  <c r="B2" i="58"/>
  <c r="B1" i="58"/>
  <c r="B3" i="62"/>
  <c r="B2" i="62"/>
  <c r="B1" i="62"/>
  <c r="B2" i="59"/>
  <c r="B3" i="59"/>
  <c r="B1" i="59"/>
  <c r="G13" i="59" l="1"/>
  <c r="F13" i="59"/>
  <c r="E13" i="59"/>
  <c r="D13" i="59" l="1"/>
  <c r="C13" i="59"/>
  <c r="B13" i="59"/>
  <c r="C8" i="63" l="1"/>
  <c r="D8" i="63"/>
  <c r="E8" i="63"/>
  <c r="F8" i="63"/>
  <c r="G8" i="63"/>
  <c r="H8" i="63"/>
  <c r="I8" i="63"/>
  <c r="J8" i="63"/>
  <c r="K8" i="63"/>
  <c r="B8" i="63"/>
  <c r="H13" i="62"/>
  <c r="M25" i="63"/>
  <c r="M16" i="63"/>
  <c r="A20" i="63" l="1"/>
  <c r="B20" i="63"/>
  <c r="C20" i="63"/>
  <c r="D20" i="63"/>
  <c r="A21" i="63"/>
  <c r="B21" i="63"/>
  <c r="C21" i="63"/>
  <c r="D21" i="63"/>
  <c r="A22" i="63"/>
  <c r="B22" i="63"/>
  <c r="C22" i="63"/>
  <c r="D22" i="63"/>
  <c r="A23" i="63"/>
  <c r="B23" i="63"/>
  <c r="C23" i="63"/>
  <c r="D23" i="63"/>
  <c r="A12" i="63"/>
  <c r="B12" i="63"/>
  <c r="C12" i="63"/>
  <c r="A13" i="63"/>
  <c r="B13" i="63"/>
  <c r="C13" i="63"/>
  <c r="A14" i="63"/>
  <c r="B14" i="63"/>
  <c r="C14" i="63"/>
  <c r="A15" i="63"/>
  <c r="B15" i="63"/>
  <c r="C15" i="63"/>
  <c r="A8" i="58"/>
  <c r="B8" i="58"/>
  <c r="C8" i="58"/>
  <c r="D8" i="58"/>
  <c r="A9" i="58"/>
  <c r="B9" i="58"/>
  <c r="C9" i="58"/>
  <c r="D9" i="58"/>
  <c r="A10" i="58"/>
  <c r="B10" i="58"/>
  <c r="C10" i="58"/>
  <c r="D10" i="58"/>
  <c r="A11" i="58"/>
  <c r="B11" i="58"/>
  <c r="C11" i="58"/>
  <c r="D11" i="58"/>
  <c r="A8" i="62"/>
  <c r="B8" i="62"/>
  <c r="C8" i="62"/>
  <c r="D8" i="62"/>
  <c r="A9" i="62"/>
  <c r="B9" i="62"/>
  <c r="C9" i="62"/>
  <c r="D9" i="62"/>
  <c r="A10" i="62"/>
  <c r="B10" i="62"/>
  <c r="C10" i="62"/>
  <c r="D10" i="62"/>
  <c r="A11" i="62"/>
  <c r="B11" i="62"/>
  <c r="C11" i="62"/>
  <c r="D11" i="62"/>
  <c r="A18" i="58" l="1"/>
  <c r="A19" i="58"/>
  <c r="A20" i="58"/>
  <c r="A21" i="58"/>
  <c r="A22" i="58"/>
  <c r="A17" i="58"/>
  <c r="F25" i="63" l="1"/>
  <c r="G25" i="63"/>
  <c r="H25" i="63"/>
  <c r="I25" i="63"/>
  <c r="J25" i="63"/>
  <c r="K25" i="63"/>
  <c r="L25" i="63"/>
  <c r="E25" i="63"/>
  <c r="A24" i="63"/>
  <c r="B24" i="63"/>
  <c r="C24" i="63"/>
  <c r="D24" i="63"/>
  <c r="B19" i="63"/>
  <c r="C19" i="63"/>
  <c r="D19" i="63"/>
  <c r="A19" i="63"/>
  <c r="B11" i="63"/>
  <c r="C11" i="63"/>
  <c r="A11" i="63"/>
  <c r="E16" i="63"/>
  <c r="F16" i="63"/>
  <c r="G16" i="63"/>
  <c r="H16" i="63"/>
  <c r="I16" i="63"/>
  <c r="J16" i="63"/>
  <c r="K16" i="63"/>
  <c r="L16" i="63"/>
  <c r="D16" i="63"/>
  <c r="A2" i="63" l="1"/>
  <c r="A3" i="63"/>
  <c r="A1" i="63"/>
  <c r="A2" i="58"/>
  <c r="A3" i="58"/>
  <c r="A1" i="58"/>
  <c r="N13" i="62"/>
  <c r="M13" i="62"/>
  <c r="L13" i="62"/>
  <c r="A2" i="62"/>
  <c r="A3" i="62"/>
  <c r="A1" i="62"/>
  <c r="A2" i="59"/>
  <c r="A3" i="59"/>
  <c r="A1" i="59"/>
  <c r="A7" i="63" l="1"/>
  <c r="F12" i="58"/>
  <c r="D7" i="58"/>
  <c r="C7" i="58"/>
  <c r="B7" i="58"/>
  <c r="A7" i="58"/>
  <c r="O13" i="62"/>
  <c r="K13" i="62"/>
  <c r="J13" i="62"/>
  <c r="I13" i="62"/>
  <c r="F13" i="62"/>
  <c r="D12" i="62"/>
  <c r="C12" i="62"/>
  <c r="B12" i="62"/>
  <c r="A12" i="62"/>
  <c r="D7" i="62"/>
  <c r="C7" i="62"/>
  <c r="B7" i="62"/>
  <c r="A7" i="62"/>
  <c r="E12" i="5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Brendan Sheppard</author>
  </authors>
  <commentList>
    <comment ref="A23" authorId="0" shapeId="0" xr:uid="{4224A9D5-3177-4423-ACA6-A0D61F100392}">
      <text>
        <r>
          <rPr>
            <b/>
            <sz val="9"/>
            <color indexed="81"/>
            <rFont val="Tahoma"/>
            <family val="2"/>
          </rPr>
          <t xml:space="preserve">Business Value:
</t>
        </r>
        <r>
          <rPr>
            <sz val="9"/>
            <color indexed="81"/>
            <rFont val="Tahoma"/>
            <family val="2"/>
          </rPr>
          <t>Typical examples might be:
a. Reduce operating costs?
b. Increase capacity?
c. Improve quality?
d. Achieve your sustainability targets/reduce energy and/or utility usage?
e. Improve customer satisfaction?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Brendan Sheppard</author>
  </authors>
  <commentList>
    <comment ref="B10" authorId="0" shapeId="0" xr:uid="{A2505FA6-D34A-4EBD-A48F-D1F17C0DF1BA}">
      <text>
        <r>
          <rPr>
            <b/>
            <sz val="9"/>
            <color indexed="81"/>
            <rFont val="Tahoma"/>
            <family val="2"/>
          </rPr>
          <t xml:space="preserve">Production Unit
</t>
        </r>
        <r>
          <rPr>
            <sz val="9"/>
            <color indexed="81"/>
            <rFont val="Tahoma"/>
            <family val="2"/>
          </rPr>
          <t>A production unit is a machine (injection moulder) or workstation (manual assembly), where products get made.</t>
        </r>
      </text>
    </comment>
  </commentList>
</comments>
</file>

<file path=xl/sharedStrings.xml><?xml version="1.0" encoding="utf-8"?>
<sst xmlns="http://schemas.openxmlformats.org/spreadsheetml/2006/main" count="253" uniqueCount="211">
  <si>
    <t>Legend</t>
  </si>
  <si>
    <t>Scope review with Customer</t>
  </si>
  <si>
    <t>Internal SmartFactory use</t>
  </si>
  <si>
    <t>Version</t>
  </si>
  <si>
    <t>Issued by</t>
  </si>
  <si>
    <t>Date</t>
  </si>
  <si>
    <t>YB</t>
  </si>
  <si>
    <t>Project Overview</t>
  </si>
  <si>
    <t>1. Title and general data</t>
  </si>
  <si>
    <t>General project information</t>
  </si>
  <si>
    <t>Project Name</t>
  </si>
  <si>
    <t>Project Code</t>
  </si>
  <si>
    <t>Company</t>
  </si>
  <si>
    <t>Site</t>
  </si>
  <si>
    <t>Target delivery date</t>
  </si>
  <si>
    <t>Contact person</t>
  </si>
  <si>
    <t>2.  Where to begin? 
What problems are you trying to solve?</t>
  </si>
  <si>
    <t>Identify pain points: What are the specific challenges that negatively impact your organisation's efficiency or costs?</t>
  </si>
  <si>
    <t>List of Priority Issues to be resolved</t>
  </si>
  <si>
    <t>a.      What manual data do you currently record?</t>
  </si>
  <si>
    <t>b.      Do you use MS Excel for loss analysis?</t>
  </si>
  <si>
    <t>c.       Do you record Scrap, Rework or Rate losses?</t>
  </si>
  <si>
    <t>d.      Do you record changeovers and planned downtimes?</t>
  </si>
  <si>
    <t>e.      Do you record set-up times?</t>
  </si>
  <si>
    <t>f.        Do you record equipment centreline settings?</t>
  </si>
  <si>
    <t>g.      How do you measure and record the quality of your products?</t>
  </si>
  <si>
    <t>h.      What automated data collection tools are already in place?</t>
  </si>
  <si>
    <t>i.         Do you have a paper-based routing system?</t>
  </si>
  <si>
    <t>j.         Have you performed value stream mapping of your process?</t>
  </si>
  <si>
    <t>3. Business Value (top 3 objectives)</t>
  </si>
  <si>
    <r>
      <t xml:space="preserve">Define your goals: What do you want to achieve from your digital transformation strategy?
</t>
    </r>
    <r>
      <rPr>
        <sz val="11"/>
        <color theme="1"/>
        <rFont val="Calibri"/>
        <family val="2"/>
        <scheme val="minor"/>
      </rPr>
      <t>(e.g. Reduce operating costs, increase capacity, reduce energy, improve customer satisfaction, etc.)</t>
    </r>
  </si>
  <si>
    <t>4. Change Management</t>
  </si>
  <si>
    <t xml:space="preserve">Is you organisation ready to use this data to help drive change? </t>
  </si>
  <si>
    <t>a.      Data readiness: Do you have the necessary data infrastructure and quality to support your digital initiatives?</t>
  </si>
  <si>
    <t>b.      Cultural readiness: Is your organisation open to change and innovation?</t>
  </si>
  <si>
    <t>c.       Skills and talent: Do you have the right skills and talent to execute your strategy?</t>
  </si>
  <si>
    <t>d.       Are the roles and responsibilities in your organisation aligned to support data-driven decision making?</t>
  </si>
  <si>
    <t>e.      How will your organisation interpret and use data on a day-to-day basis, to make informed decisions?</t>
  </si>
  <si>
    <t>High Level Requirements</t>
  </si>
  <si>
    <t>Value</t>
  </si>
  <si>
    <t>Samples/notes</t>
  </si>
  <si>
    <t>Plant Model</t>
  </si>
  <si>
    <t>Company name</t>
  </si>
  <si>
    <t>Site name</t>
  </si>
  <si>
    <t>Number of Departments/Value Streams</t>
  </si>
  <si>
    <t>Number of Lines</t>
  </si>
  <si>
    <t>Number of Cells</t>
  </si>
  <si>
    <t>Total number of Production Units (PU’s)</t>
  </si>
  <si>
    <t>Modules Required</t>
  </si>
  <si>
    <t>Performance Dashboards (OEE, etc.)</t>
  </si>
  <si>
    <t>Sustainability Dashboards (EnPI’s)</t>
  </si>
  <si>
    <t>Workflow (select options required)</t>
  </si>
  <si>
    <t>-          Work Order Manager</t>
  </si>
  <si>
    <t>-          Process Verification</t>
  </si>
  <si>
    <t>-          Run-to-Target</t>
  </si>
  <si>
    <t>-          Label Management</t>
  </si>
  <si>
    <t>Daily Management System</t>
  </si>
  <si>
    <t>-          Shift Report</t>
  </si>
  <si>
    <t>-          Action List</t>
  </si>
  <si>
    <t>-          Manual Data Entry System</t>
  </si>
  <si>
    <t>-          DDMS Dashboard</t>
  </si>
  <si>
    <t>Analytics &amp; Reporting</t>
  </si>
  <si>
    <t>-          Condition Monitoring</t>
  </si>
  <si>
    <t>-          Production Summary Reports</t>
  </si>
  <si>
    <t>-          Power BI Reports</t>
  </si>
  <si>
    <t>MAPS</t>
  </si>
  <si>
    <t>Production Management</t>
  </si>
  <si>
    <t>-          Product Manager</t>
  </si>
  <si>
    <t>(include # of SKU’s)</t>
  </si>
  <si>
    <t>-          Specification Manager</t>
  </si>
  <si>
    <t>-          Alerting Manager</t>
  </si>
  <si>
    <t>-          Production Scheduler</t>
  </si>
  <si>
    <t>Configuration</t>
  </si>
  <si>
    <t>-          User Management</t>
  </si>
  <si>
    <t>-          Support</t>
  </si>
  <si>
    <t>-          Infrastructure monitoring</t>
  </si>
  <si>
    <t>-          SOP’s</t>
  </si>
  <si>
    <t>-          Video SOP’s</t>
  </si>
  <si>
    <t>Connectivity Requirements</t>
  </si>
  <si>
    <t>Number of PU’s with PLC’s</t>
  </si>
  <si>
    <t>Number of these PLC’s which have OPC UA connectivity and are ready for integration</t>
  </si>
  <si>
    <t>Number of wireless data collection nodes required</t>
  </si>
  <si>
    <t>Estimated number of wireless Gateways required</t>
  </si>
  <si>
    <t>Approx. number of Downtime Reasons per PU</t>
  </si>
  <si>
    <t>Number of PU’s where Scrap is being recorded</t>
  </si>
  <si>
    <t>Number of wireless pendants required for recording Scrap</t>
  </si>
  <si>
    <t>Number of PU’s where Rework is being recorded</t>
  </si>
  <si>
    <t>Number of PU’s where Rate Loss is being recorded</t>
  </si>
  <si>
    <t>Total number of Process Variables to be recorded</t>
  </si>
  <si>
    <t>Number of Set-Up switches required</t>
  </si>
  <si>
    <t>Number of Call-for-Help buttons required</t>
  </si>
  <si>
    <t>Infrastructure Requirements</t>
  </si>
  <si>
    <t>How many environments are required? SmartFactory recommends a min of 2 (TRN, PROD).</t>
  </si>
  <si>
    <t>(see system spec doc.)</t>
  </si>
  <si>
    <t>Is the Historian server/VM being supplied by SmartFactory?</t>
  </si>
  <si>
    <t>Is Historian server mirroring required?</t>
  </si>
  <si>
    <t>Is the Application server/VM being supplied by SmartFactory?</t>
  </si>
  <si>
    <t>Is the Application server cloud hosted?</t>
  </si>
  <si>
    <t>Is the SQL server/VM being supplied by SmartFactory?</t>
  </si>
  <si>
    <t>Is the SQL server cloud hosted?</t>
  </si>
  <si>
    <t>Are the MS Windows licenses being supplied by SmartFactory?</t>
  </si>
  <si>
    <t>Is the SQL License being supplied by SmartFactory?</t>
  </si>
  <si>
    <t>Is remote monitoring of servers and services required (SmartFactory recommend PRTG)?</t>
  </si>
  <si>
    <t>Is secure remote access required (SmartFactory recommend OpenVPN)</t>
  </si>
  <si>
    <t>Is secure remote PLC access required (SmartFactory recommend Siemens Sinema RC)</t>
  </si>
  <si>
    <t>Is Power BI being hosted by SmartFactory?</t>
  </si>
  <si>
    <t>-          If so, how many Power BI Licenses (users) are required?</t>
  </si>
  <si>
    <t>How many viewer PC’s are required?</t>
  </si>
  <si>
    <t>-          How many Monitors are required?</t>
  </si>
  <si>
    <t>-          How many mounting arms are required?</t>
  </si>
  <si>
    <t>-          How many wireless keyboards are required?</t>
  </si>
  <si>
    <t>How many handheld barcode scanners are required (total)?</t>
  </si>
  <si>
    <t>How many handheld wireless barcode scanners are required?</t>
  </si>
  <si>
    <t>How many 10” tablets are required?</t>
  </si>
  <si>
    <t>How many 75” touch TV screens (for DDMS) are required?</t>
  </si>
  <si>
    <t>DocumentationRequirements</t>
  </si>
  <si>
    <t>Standard Documentation:</t>
  </si>
  <si>
    <t>Project Management Plan, including schedule and critical milestones</t>
  </si>
  <si>
    <t>User Requirement Specification (URS)</t>
  </si>
  <si>
    <t>Functional Design Specification (FDS)</t>
  </si>
  <si>
    <t>Network Architecture Design</t>
  </si>
  <si>
    <t>Flow Diagrams (for Workflows only)</t>
  </si>
  <si>
    <t>Electrical Drawings with CE certification</t>
  </si>
  <si>
    <t>User Manual</t>
  </si>
  <si>
    <t>OPL’s (One Point Lesson) for each WAPS module</t>
  </si>
  <si>
    <t>Service Level Agreement (SLA) with guaranteed response times</t>
  </si>
  <si>
    <t>Optional Documentation:</t>
  </si>
  <si>
    <t>- FAT (Factory Acceptance Test) Document, if PLC supplied</t>
  </si>
  <si>
    <t>- SAT (Site Acceptance Test) Document, if PLC supplied</t>
  </si>
  <si>
    <t>- Validation Plan</t>
  </si>
  <si>
    <t>- IQ/OQ Validation Documents</t>
  </si>
  <si>
    <t>Additional Documentation:</t>
  </si>
  <si>
    <t>© 2019 SmartFactory</t>
  </si>
  <si>
    <t>Business Value, Risks &amp; Objectives</t>
  </si>
  <si>
    <t>Comments/ Questions</t>
  </si>
  <si>
    <t>Risk</t>
  </si>
  <si>
    <t>Risks - Business Value &amp; Objectives</t>
  </si>
  <si>
    <t>Mark [X]</t>
  </si>
  <si>
    <r>
      <rPr>
        <b/>
        <sz val="11"/>
        <color theme="1"/>
        <rFont val="Avenir Next LT Pro"/>
        <family val="2"/>
      </rPr>
      <t>Problem Clarity:</t>
    </r>
    <r>
      <rPr>
        <sz val="11"/>
        <color theme="1"/>
        <rFont val="Avenir Next LT Pro"/>
        <family val="2"/>
      </rPr>
      <t xml:space="preserve"> Is the problem that the software platform aims to solve, clearly defined and understood by all stakeholders?</t>
    </r>
  </si>
  <si>
    <r>
      <rPr>
        <b/>
        <sz val="11"/>
        <color theme="1"/>
        <rFont val="Avenir Next LT Pro"/>
        <family val="2"/>
      </rPr>
      <t>Business Value:</t>
    </r>
    <r>
      <rPr>
        <sz val="11"/>
        <color theme="1"/>
        <rFont val="Avenir Next LT Pro"/>
        <family val="2"/>
      </rPr>
      <t xml:space="preserve"> Is the business value to be created by the platform clearly articulated and agreed upon?</t>
    </r>
  </si>
  <si>
    <r>
      <rPr>
        <b/>
        <sz val="11"/>
        <color theme="1"/>
        <rFont val="Avenir Next LT Pro"/>
        <family val="2"/>
      </rPr>
      <t>Scope:</t>
    </r>
    <r>
      <rPr>
        <sz val="11"/>
        <color theme="1"/>
        <rFont val="Avenir Next LT Pro"/>
        <family val="2"/>
      </rPr>
      <t xml:space="preserve"> Is there an existing URS defined. Has it been shared?</t>
    </r>
  </si>
  <si>
    <r>
      <rPr>
        <b/>
        <sz val="11"/>
        <color theme="1"/>
        <rFont val="Avenir Next LT Pro"/>
        <family val="2"/>
      </rPr>
      <t>Prior Implementation:</t>
    </r>
    <r>
      <rPr>
        <sz val="11"/>
        <color theme="1"/>
        <rFont val="Avenir Next LT Pro"/>
        <family val="2"/>
      </rPr>
      <t xml:space="preserve"> Has a similar solution been implemented previously, either within the site or the organisation? If so, what lessons can be learned from these experiences to inform the current project?</t>
    </r>
  </si>
  <si>
    <r>
      <rPr>
        <b/>
        <sz val="11"/>
        <color theme="1"/>
        <rFont val="Avenir Next LT Pro"/>
        <family val="2"/>
      </rPr>
      <t>Sponsor:</t>
    </r>
    <r>
      <rPr>
        <sz val="11"/>
        <color theme="1"/>
        <rFont val="Avenir Next LT Pro"/>
        <family val="2"/>
      </rPr>
      <t xml:space="preserve"> Who is sponsoring the project?</t>
    </r>
  </si>
  <si>
    <r>
      <rPr>
        <b/>
        <sz val="11"/>
        <color theme="1"/>
        <rFont val="Avenir Next LT Pro"/>
        <family val="2"/>
      </rPr>
      <t>Owner:</t>
    </r>
    <r>
      <rPr>
        <sz val="11"/>
        <color theme="1"/>
        <rFont val="Avenir Next LT Pro"/>
        <family val="2"/>
      </rPr>
      <t xml:space="preserve"> Who is responsible for implementing the solution on site?</t>
    </r>
  </si>
  <si>
    <r>
      <rPr>
        <b/>
        <sz val="11"/>
        <color theme="1"/>
        <rFont val="Avenir Next LT Pro"/>
        <family val="2"/>
      </rPr>
      <t>Site Audit:</t>
    </r>
    <r>
      <rPr>
        <sz val="11"/>
        <color theme="1"/>
        <rFont val="Avenir Next LT Pro"/>
        <family val="2"/>
      </rPr>
      <t xml:space="preserve"> Is an audit of the existing equipment/facility required?</t>
    </r>
  </si>
  <si>
    <t>Risks - Security &amp; Connectivity</t>
  </si>
  <si>
    <r>
      <rPr>
        <b/>
        <sz val="11"/>
        <color theme="1"/>
        <rFont val="Avenir Next LT Pro"/>
        <family val="2"/>
      </rPr>
      <t>Security:</t>
    </r>
    <r>
      <rPr>
        <sz val="11"/>
        <color theme="1"/>
        <rFont val="Avenir Next LT Pro"/>
        <family val="2"/>
      </rPr>
      <t xml:space="preserve"> Who is responsible for security and remote access to internal networks?</t>
    </r>
  </si>
  <si>
    <r>
      <rPr>
        <b/>
        <sz val="11"/>
        <color theme="1"/>
        <rFont val="Avenir Next LT Pro"/>
        <family val="2"/>
      </rPr>
      <t xml:space="preserve">IT Support: </t>
    </r>
    <r>
      <rPr>
        <sz val="11"/>
        <color theme="1"/>
        <rFont val="Avenir Next LT Pro"/>
        <family val="2"/>
      </rPr>
      <t>Is IT support local or global? Is it provided by an outside 3rd party?</t>
    </r>
  </si>
  <si>
    <r>
      <rPr>
        <b/>
        <sz val="11"/>
        <color theme="1"/>
        <rFont val="Avenir Next LT Pro"/>
        <family val="2"/>
      </rPr>
      <t>Network architecture:</t>
    </r>
    <r>
      <rPr>
        <sz val="11"/>
        <color theme="1"/>
        <rFont val="Avenir Next LT Pro"/>
        <family val="2"/>
      </rPr>
      <t xml:space="preserve"> Is there an OT network in place? Are the IT and OT networks appropriately segregated?</t>
    </r>
  </si>
  <si>
    <r>
      <rPr>
        <b/>
        <sz val="11"/>
        <color theme="1"/>
        <rFont val="Avenir Next LT Pro"/>
        <family val="2"/>
      </rPr>
      <t>Legacy Equipment:</t>
    </r>
    <r>
      <rPr>
        <sz val="11"/>
        <color theme="1"/>
        <rFont val="Avenir Next LT Pro"/>
        <family val="2"/>
      </rPr>
      <t xml:space="preserve"> Is there a solution in place to extract data from Legacy Equipment</t>
    </r>
  </si>
  <si>
    <r>
      <rPr>
        <b/>
        <sz val="11"/>
        <color theme="1"/>
        <rFont val="Avenir Next LT Pro"/>
        <family val="2"/>
      </rPr>
      <t>Manual Assembly Processes:</t>
    </r>
    <r>
      <rPr>
        <sz val="11"/>
        <color theme="1"/>
        <rFont val="Avenir Next LT Pro"/>
        <family val="2"/>
      </rPr>
      <t xml:space="preserve"> Is there a solution in place to extract data from manual workstations?</t>
    </r>
  </si>
  <si>
    <r>
      <rPr>
        <b/>
        <sz val="11"/>
        <color theme="1"/>
        <rFont val="Avenir Next LT Pro"/>
        <family val="2"/>
      </rPr>
      <t>Connectivity Readiness:</t>
    </r>
    <r>
      <rPr>
        <sz val="11"/>
        <color theme="1"/>
        <rFont val="Avenir Next LT Pro"/>
        <family val="2"/>
      </rPr>
      <t xml:space="preserve"> Are the existing PLC’s on-site already prepared for integration with a data collection system?</t>
    </r>
  </si>
  <si>
    <t>Risks - Culture &amp; Knowledge</t>
  </si>
  <si>
    <r>
      <rPr>
        <b/>
        <sz val="11"/>
        <color theme="1"/>
        <rFont val="Avenir Next LT Pro"/>
        <family val="2"/>
      </rPr>
      <t xml:space="preserve">Culture: </t>
    </r>
    <r>
      <rPr>
        <sz val="11"/>
        <color theme="1"/>
        <rFont val="Avenir Next LT Pro"/>
        <family val="2"/>
      </rPr>
      <t xml:space="preserve">Will the culture on site be supportive or obstructive of this initiative? </t>
    </r>
  </si>
  <si>
    <r>
      <rPr>
        <b/>
        <sz val="11"/>
        <color theme="1"/>
        <rFont val="Avenir Next LT Pro"/>
        <family val="2"/>
      </rPr>
      <t>Knowledge:</t>
    </r>
    <r>
      <rPr>
        <sz val="11"/>
        <color theme="1"/>
        <rFont val="Avenir Next LT Pro"/>
        <family val="2"/>
      </rPr>
      <t xml:space="preserve"> Have the gaps in the technical abilities required for this initiative, been assessed?</t>
    </r>
  </si>
  <si>
    <r>
      <rPr>
        <b/>
        <sz val="11"/>
        <color theme="1"/>
        <rFont val="Avenir Next LT Pro"/>
        <family val="2"/>
      </rPr>
      <t xml:space="preserve">Budget: </t>
    </r>
    <r>
      <rPr>
        <sz val="11"/>
        <color theme="1"/>
        <rFont val="Avenir Next LT Pro"/>
        <family val="2"/>
      </rPr>
      <t>Is a budget available for this initiative?</t>
    </r>
  </si>
  <si>
    <r>
      <rPr>
        <b/>
        <sz val="11"/>
        <color theme="1"/>
        <rFont val="Avenir Next LT Pro"/>
        <family val="2"/>
      </rPr>
      <t>Decision making authority:</t>
    </r>
    <r>
      <rPr>
        <sz val="11"/>
        <color theme="1"/>
        <rFont val="Avenir Next LT Pro"/>
        <family val="2"/>
      </rPr>
      <t xml:space="preserve"> Will the decision to proceed with the project be made locally or at a global level?</t>
    </r>
  </si>
  <si>
    <r>
      <rPr>
        <b/>
        <sz val="11"/>
        <color theme="1"/>
        <rFont val="Avenir Next LT Pro"/>
        <family val="2"/>
      </rPr>
      <t>Schedule:</t>
    </r>
    <r>
      <rPr>
        <sz val="11"/>
        <color theme="1"/>
        <rFont val="Avenir Next LT Pro"/>
        <family val="2"/>
      </rPr>
      <t xml:space="preserve"> What are the expectations in terms of project implementation?</t>
    </r>
  </si>
  <si>
    <r>
      <rPr>
        <b/>
        <sz val="11"/>
        <color theme="1"/>
        <rFont val="Avenir Next LT Pro"/>
        <family val="2"/>
      </rPr>
      <t>Road blocks:</t>
    </r>
    <r>
      <rPr>
        <sz val="11"/>
        <color theme="1"/>
        <rFont val="Avenir Next LT Pro"/>
        <family val="2"/>
      </rPr>
      <t xml:space="preserve"> What could prevent the project from proceeding?</t>
    </r>
  </si>
  <si>
    <t>Risk Reducing Actions: What actions are required to mitigate these risks?</t>
  </si>
  <si>
    <t>Value Stream/ Department</t>
  </si>
  <si>
    <t>Line/Cell Name</t>
  </si>
  <si>
    <t>Production Unit Name</t>
  </si>
  <si>
    <t>Downtime Constraint</t>
  </si>
  <si>
    <t>Product Count Constraint</t>
  </si>
  <si>
    <t>Step</t>
  </si>
  <si>
    <t>Total</t>
  </si>
  <si>
    <t>Value Stream</t>
  </si>
  <si>
    <t>Process</t>
  </si>
  <si>
    <t>PU</t>
  </si>
  <si>
    <t xml:space="preserve">Proposal </t>
  </si>
  <si>
    <t>PLC Number</t>
  </si>
  <si>
    <t>PLC  Brand/Model</t>
  </si>
  <si>
    <t>TL70
Counter/Call For Help</t>
  </si>
  <si>
    <t>Call for Help (Button + Light)</t>
  </si>
  <si>
    <t>Set Up Switch
(Button+Light)</t>
  </si>
  <si>
    <t>Photooptic Sensor</t>
  </si>
  <si>
    <t>Current Sensor</t>
  </si>
  <si>
    <t>Current Sensor 0.5 mA</t>
  </si>
  <si>
    <t>Festo Pressure switch</t>
  </si>
  <si>
    <t>Wireless Pendant</t>
  </si>
  <si>
    <t>Comments</t>
  </si>
  <si>
    <t>Tags</t>
  </si>
  <si>
    <t>Equipment</t>
  </si>
  <si>
    <t>Tag</t>
  </si>
  <si>
    <t>PLC</t>
  </si>
  <si>
    <t>Heartbeat</t>
  </si>
  <si>
    <t>State</t>
  </si>
  <si>
    <t>ProductionCountGood</t>
  </si>
  <si>
    <t>ProductionCountScrap</t>
  </si>
  <si>
    <t>ScrapCode</t>
  </si>
  <si>
    <t>StopCode</t>
  </si>
  <si>
    <t>Site View</t>
  </si>
  <si>
    <t>Energy Consumption</t>
  </si>
  <si>
    <t>Utility Consumption</t>
  </si>
  <si>
    <t>Work Order Manager</t>
  </si>
  <si>
    <t>Condition Monitoring</t>
  </si>
  <si>
    <t>Reporting (Power BI)</t>
  </si>
  <si>
    <t>Map Site View</t>
  </si>
  <si>
    <t>Product Manager</t>
  </si>
  <si>
    <t>Scheduler</t>
  </si>
  <si>
    <t>Shift Report</t>
  </si>
  <si>
    <t>Cell View</t>
  </si>
  <si>
    <t>Line View</t>
  </si>
  <si>
    <t>Grid View</t>
  </si>
  <si>
    <t>Call for Help</t>
  </si>
  <si>
    <t>Call for Parts</t>
  </si>
  <si>
    <t>Process Verification</t>
  </si>
  <si>
    <t>Downtime Viewer (DTVR)</t>
  </si>
  <si>
    <t>Manual Data Entry System (MDES)</t>
  </si>
  <si>
    <t>Pick to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</si>
</sst>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45"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rgb="FF0D496B"/>
      <name val="Avenir Next LT Pro"/>
      <family val="2"/>
    </font>
    <font>
      <sz val="11"/>
      <color rgb="FF0D496B"/>
      <name val="Calibri"/>
      <family val="2"/>
      <scheme val="minor"/>
    </font>
    <font>
      <b/>
      <sz val="12"/>
      <color rgb="FF0D496B"/>
      <name val="Arial"/>
      <family val="2"/>
    </font>
    <font>
      <b/>
      <sz val="11"/>
      <color rgb="FF0D496B"/>
      <name val="Calibri"/>
      <family val="2"/>
      <scheme val="minor"/>
    </font>
    <font>
      <sz val="18"/>
      <color rgb="FF0D496B"/>
      <name val="Calibri"/>
      <family val="2"/>
      <scheme val="minor"/>
    </font>
    <font>
      <sz val="11"/>
      <color theme="1"/>
      <name val="Avenir Next LT Pro"/>
      <family val="2"/>
    </font>
    <font>
      <b/>
      <sz val="12"/>
      <color rgb="FFFF0000"/>
      <name val="Avenir Next LT Pro"/>
      <family val="2"/>
    </font>
    <font>
      <b/>
      <sz val="14"/>
      <color theme="0"/>
      <name val="Avenir Next LT Pro"/>
      <family val="2"/>
    </font>
    <font>
      <b/>
      <sz val="11"/>
      <color theme="0"/>
      <name val="Avenir Next LT Pro"/>
      <family val="2"/>
    </font>
    <font>
      <b/>
      <sz val="11"/>
      <color rgb="FFFF0000"/>
      <name val="Avenir Next LT Pro"/>
      <family val="2"/>
    </font>
    <font>
      <b/>
      <sz val="11"/>
      <color theme="1"/>
      <name val="Avenir Next LT Pro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rgb="FF0D496B"/>
      <name val="Avenir Next LT Pro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0D496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19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1" fillId="0" borderId="0"/>
    <xf numFmtId="0" fontId="2" fillId="8" borderId="8" applyNumberFormat="0" applyFont="0" applyAlignment="0" applyProtection="0"/>
    <xf numFmtId="0" fontId="19" fillId="0" borderId="0"/>
    <xf numFmtId="44" fontId="1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4" fontId="2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7" fillId="0" borderId="0" xfId="0" applyFont="1"/>
    <xf numFmtId="0" fontId="17" fillId="0" borderId="10" xfId="0" applyFont="1" applyBorder="1" applyAlignment="1">
      <alignment horizontal="right" vertical="center" wrapText="1"/>
    </xf>
    <xf numFmtId="0" fontId="0" fillId="36" borderId="12" xfId="0" applyFill="1" applyBorder="1" applyAlignment="1">
      <alignment vertical="center"/>
    </xf>
    <xf numFmtId="0" fontId="0" fillId="36" borderId="13" xfId="0" applyFill="1" applyBorder="1" applyAlignment="1">
      <alignment vertical="center" wrapText="1"/>
    </xf>
    <xf numFmtId="0" fontId="15" fillId="36" borderId="13" xfId="0" applyFont="1" applyFill="1" applyBorder="1" applyAlignment="1">
      <alignment vertical="center" wrapText="1"/>
    </xf>
    <xf numFmtId="0" fontId="0" fillId="36" borderId="12" xfId="0" applyFill="1" applyBorder="1" applyAlignment="1">
      <alignment horizontal="left" vertical="center"/>
    </xf>
    <xf numFmtId="0" fontId="0" fillId="36" borderId="13" xfId="0" applyFill="1" applyBorder="1" applyAlignment="1">
      <alignment horizontal="left" vertical="center" wrapText="1"/>
    </xf>
    <xf numFmtId="14" fontId="0" fillId="36" borderId="12" xfId="0" applyNumberForma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36" borderId="12" xfId="0" quotePrefix="1" applyFill="1" applyBorder="1" applyAlignment="1">
      <alignment vertical="center"/>
    </xf>
    <xf numFmtId="0" fontId="0" fillId="36" borderId="11" xfId="0" applyFill="1" applyBorder="1" applyAlignment="1">
      <alignment vertical="center"/>
    </xf>
    <xf numFmtId="0" fontId="0" fillId="36" borderId="11" xfId="0" quotePrefix="1" applyFill="1" applyBorder="1" applyAlignment="1">
      <alignment vertical="center"/>
    </xf>
    <xf numFmtId="0" fontId="0" fillId="36" borderId="11" xfId="0" applyFill="1" applyBorder="1" applyAlignment="1">
      <alignment horizontal="left" vertical="center"/>
    </xf>
    <xf numFmtId="14" fontId="0" fillId="36" borderId="11" xfId="0" applyNumberFormat="1" applyFill="1" applyBorder="1" applyAlignment="1">
      <alignment horizontal="left" vertical="center"/>
    </xf>
    <xf numFmtId="0" fontId="17" fillId="35" borderId="10" xfId="0" applyFont="1" applyFill="1" applyBorder="1" applyAlignment="1">
      <alignment vertical="center"/>
    </xf>
    <xf numFmtId="0" fontId="17" fillId="35" borderId="18" xfId="0" applyFont="1" applyFill="1" applyBorder="1" applyAlignment="1">
      <alignment vertical="center"/>
    </xf>
    <xf numFmtId="0" fontId="0" fillId="0" borderId="14" xfId="0" applyBorder="1"/>
    <xf numFmtId="0" fontId="26" fillId="0" borderId="0" xfId="64"/>
    <xf numFmtId="0" fontId="17" fillId="0" borderId="0" xfId="0" applyFont="1" applyAlignment="1">
      <alignment horizontal="left" vertical="center"/>
    </xf>
    <xf numFmtId="49" fontId="0" fillId="0" borderId="0" xfId="0" applyNumberFormat="1"/>
    <xf numFmtId="14" fontId="0" fillId="0" borderId="0" xfId="0" applyNumberFormat="1" applyAlignment="1">
      <alignment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center"/>
    </xf>
    <xf numFmtId="165" fontId="27" fillId="0" borderId="0" xfId="65" applyNumberFormat="1" applyFont="1" applyAlignment="1">
      <alignment horizontal="right" vertical="center"/>
    </xf>
    <xf numFmtId="0" fontId="14" fillId="3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8" fillId="34" borderId="0" xfId="0" applyFont="1" applyFill="1" applyAlignment="1">
      <alignment horizontal="center" vertical="center" wrapText="1"/>
    </xf>
    <xf numFmtId="0" fontId="0" fillId="33" borderId="0" xfId="0" applyFill="1" applyAlignment="1">
      <alignment vertical="center"/>
    </xf>
    <xf numFmtId="0" fontId="30" fillId="0" borderId="0" xfId="0" applyFont="1"/>
    <xf numFmtId="0" fontId="17" fillId="0" borderId="10" xfId="0" applyFont="1" applyBorder="1" applyAlignment="1">
      <alignment vertical="center"/>
    </xf>
    <xf numFmtId="0" fontId="29" fillId="0" borderId="10" xfId="0" applyFont="1" applyBorder="1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3" borderId="0" xfId="0" applyFill="1"/>
    <xf numFmtId="0" fontId="29" fillId="0" borderId="0" xfId="0" applyFont="1" applyAlignment="1">
      <alignment horizontal="left" vertical="center"/>
    </xf>
    <xf numFmtId="0" fontId="28" fillId="37" borderId="0" xfId="0" applyFont="1" applyFill="1" applyAlignment="1">
      <alignment horizontal="center" vertical="center" wrapText="1"/>
    </xf>
    <xf numFmtId="0" fontId="0" fillId="0" borderId="20" xfId="0" applyBorder="1"/>
    <xf numFmtId="0" fontId="27" fillId="0" borderId="21" xfId="0" applyFont="1" applyBorder="1" applyAlignment="1">
      <alignment horizontal="left" vertical="center"/>
    </xf>
    <xf numFmtId="0" fontId="27" fillId="0" borderId="21" xfId="0" applyFont="1" applyBorder="1" applyAlignment="1">
      <alignment vertical="center"/>
    </xf>
    <xf numFmtId="0" fontId="28" fillId="38" borderId="0" xfId="0" applyFont="1" applyFill="1" applyAlignment="1">
      <alignment horizontal="left" vertical="center"/>
    </xf>
    <xf numFmtId="0" fontId="28" fillId="38" borderId="0" xfId="0" applyFont="1" applyFill="1" applyAlignment="1">
      <alignment vertical="center"/>
    </xf>
    <xf numFmtId="0" fontId="0" fillId="0" borderId="0" xfId="0" applyAlignment="1">
      <alignment horizontal="right" vertical="center" wrapText="1"/>
    </xf>
    <xf numFmtId="0" fontId="0" fillId="36" borderId="12" xfId="0" applyFill="1" applyBorder="1" applyAlignment="1">
      <alignment horizontal="left" vertical="center" wrapText="1"/>
    </xf>
    <xf numFmtId="0" fontId="0" fillId="36" borderId="11" xfId="0" applyFill="1" applyBorder="1" applyAlignment="1">
      <alignment horizontal="left" vertical="center" wrapText="1"/>
    </xf>
    <xf numFmtId="0" fontId="32" fillId="0" borderId="0" xfId="0" applyFont="1"/>
    <xf numFmtId="0" fontId="32" fillId="0" borderId="0" xfId="0" applyFont="1" applyAlignment="1">
      <alignment wrapText="1"/>
    </xf>
    <xf numFmtId="0" fontId="34" fillId="35" borderId="27" xfId="0" applyFont="1" applyFill="1" applyBorder="1" applyAlignment="1">
      <alignment vertical="center"/>
    </xf>
    <xf numFmtId="0" fontId="34" fillId="35" borderId="28" xfId="0" applyFont="1" applyFill="1" applyBorder="1" applyAlignment="1">
      <alignment horizontal="center" vertical="center"/>
    </xf>
    <xf numFmtId="0" fontId="34" fillId="35" borderId="29" xfId="0" applyFont="1" applyFill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34" fillId="0" borderId="26" xfId="0" applyFont="1" applyBorder="1" applyAlignment="1">
      <alignment horizontal="left" vertical="center" wrapText="1"/>
    </xf>
    <xf numFmtId="0" fontId="32" fillId="36" borderId="26" xfId="0" applyFont="1" applyFill="1" applyBorder="1" applyAlignment="1">
      <alignment vertical="center"/>
    </xf>
    <xf numFmtId="0" fontId="32" fillId="36" borderId="26" xfId="0" applyFont="1" applyFill="1" applyBorder="1" applyAlignment="1">
      <alignment vertical="center" wrapText="1"/>
    </xf>
    <xf numFmtId="0" fontId="32" fillId="0" borderId="23" xfId="0" applyFont="1" applyBorder="1" applyAlignment="1">
      <alignment vertical="center" wrapText="1"/>
    </xf>
    <xf numFmtId="0" fontId="32" fillId="36" borderId="26" xfId="0" applyFont="1" applyFill="1" applyBorder="1" applyAlignment="1">
      <alignment horizontal="left" vertical="center"/>
    </xf>
    <xf numFmtId="0" fontId="32" fillId="36" borderId="26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/>
    </xf>
    <xf numFmtId="14" fontId="32" fillId="36" borderId="26" xfId="0" applyNumberFormat="1" applyFont="1" applyFill="1" applyBorder="1" applyAlignment="1">
      <alignment horizontal="left" vertical="center"/>
    </xf>
    <xf numFmtId="0" fontId="34" fillId="0" borderId="26" xfId="0" applyFont="1" applyBorder="1" applyAlignment="1">
      <alignment horizontal="right" vertical="center" wrapText="1"/>
    </xf>
    <xf numFmtId="0" fontId="32" fillId="36" borderId="26" xfId="0" applyFont="1" applyFill="1" applyBorder="1" applyAlignment="1">
      <alignment horizontal="center" vertical="center"/>
    </xf>
    <xf numFmtId="0" fontId="32" fillId="36" borderId="26" xfId="0" applyFont="1" applyFill="1" applyBorder="1" applyAlignment="1">
      <alignment horizontal="left" vertical="top" wrapText="1"/>
    </xf>
    <xf numFmtId="0" fontId="34" fillId="0" borderId="26" xfId="0" applyFont="1" applyBorder="1" applyAlignment="1">
      <alignment vertical="center" wrapText="1"/>
    </xf>
    <xf numFmtId="0" fontId="18" fillId="0" borderId="0" xfId="0" applyFont="1"/>
    <xf numFmtId="0" fontId="34" fillId="35" borderId="24" xfId="0" applyFont="1" applyFill="1" applyBorder="1" applyAlignment="1">
      <alignment vertical="center"/>
    </xf>
    <xf numFmtId="0" fontId="34" fillId="35" borderId="28" xfId="0" applyFont="1" applyFill="1" applyBorder="1" applyAlignment="1">
      <alignment vertical="center" wrapText="1"/>
    </xf>
    <xf numFmtId="0" fontId="17" fillId="35" borderId="10" xfId="0" applyFont="1" applyFill="1" applyBorder="1" applyAlignment="1">
      <alignment vertical="center" wrapText="1"/>
    </xf>
    <xf numFmtId="0" fontId="17" fillId="0" borderId="10" xfId="0" applyFont="1" applyBorder="1" applyAlignment="1">
      <alignment horizontal="left" vertical="center" wrapText="1"/>
    </xf>
    <xf numFmtId="0" fontId="36" fillId="0" borderId="0" xfId="0" applyFont="1"/>
    <xf numFmtId="0" fontId="36" fillId="0" borderId="0" xfId="0" applyFont="1" applyAlignment="1">
      <alignment wrapText="1"/>
    </xf>
    <xf numFmtId="0" fontId="36" fillId="0" borderId="0" xfId="0" applyFont="1" applyAlignment="1">
      <alignment horizontal="center"/>
    </xf>
    <xf numFmtId="0" fontId="41" fillId="0" borderId="23" xfId="0" applyFont="1" applyBorder="1" applyAlignment="1">
      <alignment vertical="center" wrapText="1"/>
    </xf>
    <xf numFmtId="0" fontId="41" fillId="0" borderId="26" xfId="0" applyFont="1" applyBorder="1" applyAlignment="1">
      <alignment horizontal="left" vertical="center" wrapText="1"/>
    </xf>
    <xf numFmtId="0" fontId="36" fillId="0" borderId="0" xfId="0" applyFont="1" applyAlignment="1">
      <alignment horizontal="left"/>
    </xf>
    <xf numFmtId="0" fontId="41" fillId="35" borderId="27" xfId="0" applyFont="1" applyFill="1" applyBorder="1" applyAlignment="1">
      <alignment vertical="center"/>
    </xf>
    <xf numFmtId="0" fontId="41" fillId="35" borderId="33" xfId="0" applyFont="1" applyFill="1" applyBorder="1" applyAlignment="1">
      <alignment horizontal="center" vertical="center"/>
    </xf>
    <xf numFmtId="0" fontId="24" fillId="34" borderId="33" xfId="0" applyFont="1" applyFill="1" applyBorder="1" applyAlignment="1">
      <alignment horizontal="center" vertical="center" wrapText="1"/>
    </xf>
    <xf numFmtId="0" fontId="24" fillId="34" borderId="29" xfId="0" applyFont="1" applyFill="1" applyBorder="1" applyAlignment="1">
      <alignment horizontal="center" vertical="center" wrapText="1"/>
    </xf>
    <xf numFmtId="0" fontId="33" fillId="34" borderId="27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/>
    </xf>
    <xf numFmtId="14" fontId="42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34" borderId="30" xfId="0" applyFill="1" applyBorder="1"/>
    <xf numFmtId="0" fontId="0" fillId="0" borderId="19" xfId="0" applyBorder="1"/>
    <xf numFmtId="0" fontId="0" fillId="40" borderId="31" xfId="0" applyFill="1" applyBorder="1"/>
    <xf numFmtId="0" fontId="0" fillId="0" borderId="35" xfId="0" applyBorder="1"/>
    <xf numFmtId="0" fontId="31" fillId="0" borderId="23" xfId="0" applyFont="1" applyBorder="1" applyAlignment="1">
      <alignment vertical="center" wrapText="1"/>
    </xf>
    <xf numFmtId="0" fontId="44" fillId="0" borderId="32" xfId="0" applyFont="1" applyBorder="1" applyAlignment="1">
      <alignment vertical="center" wrapText="1"/>
    </xf>
    <xf numFmtId="0" fontId="44" fillId="0" borderId="26" xfId="0" applyFont="1" applyBorder="1" applyAlignment="1">
      <alignment vertical="center" wrapText="1"/>
    </xf>
    <xf numFmtId="0" fontId="31" fillId="0" borderId="26" xfId="0" quotePrefix="1" applyFont="1" applyBorder="1" applyAlignment="1">
      <alignment vertical="center" wrapText="1"/>
    </xf>
    <xf numFmtId="0" fontId="41" fillId="35" borderId="29" xfId="0" applyFont="1" applyFill="1" applyBorder="1" applyAlignment="1">
      <alignment vertical="center"/>
    </xf>
    <xf numFmtId="0" fontId="41" fillId="35" borderId="29" xfId="0" applyFont="1" applyFill="1" applyBorder="1" applyAlignment="1">
      <alignment horizontal="center" vertical="center" wrapText="1"/>
    </xf>
    <xf numFmtId="0" fontId="17" fillId="0" borderId="20" xfId="0" applyFont="1" applyBorder="1" applyAlignment="1">
      <alignment horizontal="center"/>
    </xf>
    <xf numFmtId="0" fontId="24" fillId="34" borderId="15" xfId="0" applyFont="1" applyFill="1" applyBorder="1" applyAlignment="1">
      <alignment horizontal="center" vertical="center" wrapText="1"/>
    </xf>
    <xf numFmtId="0" fontId="24" fillId="34" borderId="16" xfId="0" applyFont="1" applyFill="1" applyBorder="1" applyAlignment="1">
      <alignment horizontal="center" vertical="center" wrapText="1"/>
    </xf>
    <xf numFmtId="0" fontId="24" fillId="34" borderId="17" xfId="0" applyFont="1" applyFill="1" applyBorder="1" applyAlignment="1">
      <alignment horizontal="center" vertical="center" wrapText="1"/>
    </xf>
    <xf numFmtId="0" fontId="17" fillId="35" borderId="18" xfId="0" applyFont="1" applyFill="1" applyBorder="1" applyAlignment="1">
      <alignment horizontal="left" vertical="center"/>
    </xf>
    <xf numFmtId="0" fontId="17" fillId="35" borderId="10" xfId="0" applyFont="1" applyFill="1" applyBorder="1" applyAlignment="1">
      <alignment horizontal="left" vertical="center"/>
    </xf>
    <xf numFmtId="14" fontId="0" fillId="36" borderId="12" xfId="0" applyNumberFormat="1" applyFill="1" applyBorder="1" applyAlignment="1">
      <alignment horizontal="left" vertical="center" wrapText="1"/>
    </xf>
    <xf numFmtId="14" fontId="0" fillId="36" borderId="11" xfId="0" applyNumberFormat="1" applyFill="1" applyBorder="1" applyAlignment="1">
      <alignment horizontal="left" vertical="center" wrapText="1"/>
    </xf>
    <xf numFmtId="14" fontId="0" fillId="36" borderId="13" xfId="0" applyNumberFormat="1" applyFill="1" applyBorder="1" applyAlignment="1">
      <alignment horizontal="left" vertical="center" wrapText="1"/>
    </xf>
    <xf numFmtId="0" fontId="17" fillId="35" borderId="10" xfId="0" applyFont="1" applyFill="1" applyBorder="1" applyAlignment="1">
      <alignment horizontal="left" vertical="center" wrapText="1"/>
    </xf>
    <xf numFmtId="0" fontId="0" fillId="36" borderId="12" xfId="0" applyFill="1" applyBorder="1" applyAlignment="1">
      <alignment horizontal="left" vertical="center" wrapText="1"/>
    </xf>
    <xf numFmtId="0" fontId="0" fillId="36" borderId="11" xfId="0" applyFill="1" applyBorder="1" applyAlignment="1">
      <alignment horizontal="left" vertical="center" wrapText="1"/>
    </xf>
    <xf numFmtId="0" fontId="0" fillId="36" borderId="13" xfId="0" applyFill="1" applyBorder="1" applyAlignment="1">
      <alignment horizontal="left" vertical="center" wrapText="1"/>
    </xf>
    <xf numFmtId="0" fontId="35" fillId="34" borderId="27" xfId="0" applyFont="1" applyFill="1" applyBorder="1" applyAlignment="1">
      <alignment horizontal="center" vertical="center"/>
    </xf>
    <xf numFmtId="0" fontId="35" fillId="34" borderId="29" xfId="0" applyFont="1" applyFill="1" applyBorder="1" applyAlignment="1">
      <alignment horizontal="center" vertical="center"/>
    </xf>
    <xf numFmtId="0" fontId="37" fillId="34" borderId="22" xfId="0" applyFont="1" applyFill="1" applyBorder="1" applyAlignment="1">
      <alignment horizontal="center" vertical="center" wrapText="1"/>
    </xf>
    <xf numFmtId="0" fontId="37" fillId="34" borderId="24" xfId="0" applyFont="1" applyFill="1" applyBorder="1" applyAlignment="1">
      <alignment horizontal="center" vertical="center" wrapText="1"/>
    </xf>
    <xf numFmtId="0" fontId="38" fillId="34" borderId="34" xfId="0" applyFont="1" applyFill="1" applyBorder="1" applyAlignment="1">
      <alignment horizontal="center" vertical="center" wrapText="1"/>
    </xf>
    <xf numFmtId="0" fontId="38" fillId="34" borderId="28" xfId="0" applyFont="1" applyFill="1" applyBorder="1" applyAlignment="1">
      <alignment horizontal="center" vertical="center" wrapText="1"/>
    </xf>
    <xf numFmtId="0" fontId="39" fillId="34" borderId="34" xfId="0" applyFont="1" applyFill="1" applyBorder="1" applyAlignment="1">
      <alignment horizontal="center" vertical="center" wrapText="1"/>
    </xf>
    <xf numFmtId="0" fontId="39" fillId="34" borderId="28" xfId="0" applyFont="1" applyFill="1" applyBorder="1" applyAlignment="1">
      <alignment horizontal="center" vertical="center" wrapText="1"/>
    </xf>
    <xf numFmtId="0" fontId="40" fillId="34" borderId="25" xfId="0" applyFont="1" applyFill="1" applyBorder="1" applyAlignment="1">
      <alignment horizontal="center" vertical="center" wrapText="1"/>
    </xf>
    <xf numFmtId="0" fontId="40" fillId="34" borderId="26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left" vertical="center" wrapText="1"/>
    </xf>
    <xf numFmtId="0" fontId="1" fillId="36" borderId="26" xfId="0" applyFont="1" applyFill="1" applyBorder="1" applyAlignment="1">
      <alignment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1" fillId="39" borderId="26" xfId="0" applyFont="1" applyFill="1" applyBorder="1" applyAlignment="1">
      <alignment horizontal="left" vertical="center" wrapText="1"/>
    </xf>
    <xf numFmtId="0" fontId="1" fillId="36" borderId="26" xfId="0" applyFont="1" applyFill="1" applyBorder="1" applyAlignment="1">
      <alignment horizontal="left" vertical="center" wrapText="1"/>
    </xf>
  </cellXfs>
  <cellStyles count="6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1 2" xfId="53" xr:uid="{00000000-0005-0000-0000-00000D000000}"/>
    <cellStyle name="60% - Accent2" xfId="24" builtinId="36" customBuiltin="1"/>
    <cellStyle name="60% - Accent2 2" xfId="54" xr:uid="{00000000-0005-0000-0000-00000F000000}"/>
    <cellStyle name="60% - Accent3" xfId="28" builtinId="40" customBuiltin="1"/>
    <cellStyle name="60% - Accent3 2" xfId="55" xr:uid="{00000000-0005-0000-0000-000011000000}"/>
    <cellStyle name="60% - Accent4" xfId="32" builtinId="44" customBuiltin="1"/>
    <cellStyle name="60% - Accent4 2" xfId="56" xr:uid="{00000000-0005-0000-0000-000013000000}"/>
    <cellStyle name="60% - Accent5" xfId="36" builtinId="48" customBuiltin="1"/>
    <cellStyle name="60% - Accent5 2" xfId="57" xr:uid="{00000000-0005-0000-0000-000015000000}"/>
    <cellStyle name="60% - Accent6" xfId="40" builtinId="52" customBuiltin="1"/>
    <cellStyle name="60% - Accent6 2" xfId="58" xr:uid="{00000000-0005-0000-0000-000017000000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65" builtinId="3"/>
    <cellStyle name="Comma 2" xfId="44" xr:uid="{00000000-0005-0000-0000-000021000000}"/>
    <cellStyle name="Comma 2 2" xfId="46" xr:uid="{00000000-0005-0000-0000-000022000000}"/>
    <cellStyle name="Comma 2 2 2" xfId="61" xr:uid="{00000000-0005-0000-0000-000023000000}"/>
    <cellStyle name="Comma 2 2 2 2" xfId="63" xr:uid="{00000000-0005-0000-0000-000024000000}"/>
    <cellStyle name="Comma 2 3" xfId="60" xr:uid="{00000000-0005-0000-0000-000025000000}"/>
    <cellStyle name="Comma 2 3 2" xfId="62" xr:uid="{00000000-0005-0000-0000-000026000000}"/>
    <cellStyle name="Currency 2" xfId="50" xr:uid="{00000000-0005-0000-0000-000027000000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64" builtinId="8"/>
    <cellStyle name="Input" xfId="9" builtinId="20" customBuiltin="1"/>
    <cellStyle name="Linked Cell" xfId="12" builtinId="24" customBuiltin="1"/>
    <cellStyle name="Neutral" xfId="8" builtinId="28" customBuiltin="1"/>
    <cellStyle name="Neutral 2" xfId="52" xr:uid="{00000000-0005-0000-0000-000031000000}"/>
    <cellStyle name="Normal" xfId="0" builtinId="0"/>
    <cellStyle name="Normal 2" xfId="43" xr:uid="{00000000-0005-0000-0000-000033000000}"/>
    <cellStyle name="Normal 2 2" xfId="59" xr:uid="{00000000-0005-0000-0000-000034000000}"/>
    <cellStyle name="Normal 2 3" xfId="49" xr:uid="{00000000-0005-0000-0000-000035000000}"/>
    <cellStyle name="Normal 3" xfId="47" xr:uid="{00000000-0005-0000-0000-000036000000}"/>
    <cellStyle name="Normal 4" xfId="41" xr:uid="{00000000-0005-0000-0000-000037000000}"/>
    <cellStyle name="Normal 5" xfId="42" xr:uid="{00000000-0005-0000-0000-000038000000}"/>
    <cellStyle name="Note 2" xfId="48" xr:uid="{00000000-0005-0000-0000-000039000000}"/>
    <cellStyle name="Output" xfId="10" builtinId="21" customBuiltin="1"/>
    <cellStyle name="Title" xfId="1" builtinId="15" customBuiltin="1"/>
    <cellStyle name="Title 2" xfId="51" xr:uid="{00000000-0005-0000-0000-00003C000000}"/>
    <cellStyle name="Total" xfId="16" builtinId="25" customBuiltin="1"/>
    <cellStyle name="Warning Text" xfId="14" builtinId="11" customBuiltin="1"/>
    <cellStyle name="標準_Euro Price 2001-0315int(ALL)" xfId="45" xr:uid="{00000000-0005-0000-0000-00003F000000}"/>
  </cellStyles>
  <dxfs count="10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ill>
        <patternFill patternType="solid">
          <fgColor indexed="64"/>
          <bgColor rgb="FFFFFFCC"/>
        </patternFill>
      </fill>
    </dxf>
    <dxf>
      <fill>
        <patternFill patternType="solid">
          <fgColor indexed="64"/>
          <bgColor rgb="FFFFFFCC"/>
        </patternFill>
      </fill>
    </dxf>
    <dxf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CC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0D496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0D496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ashboards!A1"/><Relationship Id="rId3" Type="http://schemas.openxmlformats.org/officeDocument/2006/relationships/hyperlink" Target="#'Plant Model'!A1"/><Relationship Id="rId7" Type="http://schemas.openxmlformats.org/officeDocument/2006/relationships/hyperlink" Target="#Tags!A1"/><Relationship Id="rId2" Type="http://schemas.openxmlformats.org/officeDocument/2006/relationships/hyperlink" Target="#'Project Description'!A1"/><Relationship Id="rId1" Type="http://schemas.openxmlformats.org/officeDocument/2006/relationships/image" Target="../media/image1.png"/><Relationship Id="rId6" Type="http://schemas.openxmlformats.org/officeDocument/2006/relationships/hyperlink" Target="#'Business Value &amp; Risks'!A1"/><Relationship Id="rId5" Type="http://schemas.openxmlformats.org/officeDocument/2006/relationships/hyperlink" Target="#'Field Devices'!A1"/><Relationship Id="rId4" Type="http://schemas.openxmlformats.org/officeDocument/2006/relationships/hyperlink" Target="#'High Level Project Requirem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455596</xdr:colOff>
      <xdr:row>2</xdr:row>
      <xdr:rowOff>0</xdr:rowOff>
    </xdr:from>
    <xdr:to>
      <xdr:col>21</xdr:col>
      <xdr:colOff>330898</xdr:colOff>
      <xdr:row>8</xdr:row>
      <xdr:rowOff>31124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EC9FE-ABFB-4EF3-B29A-97220BA6A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7246" y="368300"/>
          <a:ext cx="5971302" cy="1136024"/>
        </a:xfrm>
        <a:prstGeom prst="rect">
          <a:avLst/>
        </a:prstGeom>
      </xdr:spPr>
    </xdr:pic>
    <xdr:clientData/>
  </xdr:twoCellAnchor>
  <xdr:twoCellAnchor>
    <xdr:from>
      <xdr:col>3</xdr:col>
      <xdr:colOff>592097</xdr:colOff>
      <xdr:row>9</xdr:row>
      <xdr:rowOff>126604</xdr:rowOff>
    </xdr:from>
    <xdr:to>
      <xdr:col>11</xdr:col>
      <xdr:colOff>216807</xdr:colOff>
      <xdr:row>17</xdr:row>
      <xdr:rowOff>31749</xdr:rowOff>
    </xdr:to>
    <xdr:sp macro="[1]!Show_Form" textlink="">
      <xdr:nvSpPr>
        <xdr:cNvPr id="4" name="Rounded 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9AE459-85A2-4D0A-BEF7-C963EA114378}"/>
            </a:ext>
          </a:extLst>
        </xdr:cNvPr>
        <xdr:cNvSpPr/>
      </xdr:nvSpPr>
      <xdr:spPr>
        <a:xfrm>
          <a:off x="2539430" y="1841104"/>
          <a:ext cx="4651794" cy="1429145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Project Description</a:t>
          </a:r>
        </a:p>
      </xdr:txBody>
    </xdr:sp>
    <xdr:clientData/>
  </xdr:twoCellAnchor>
  <xdr:twoCellAnchor>
    <xdr:from>
      <xdr:col>4</xdr:col>
      <xdr:colOff>15554</xdr:colOff>
      <xdr:row>19</xdr:row>
      <xdr:rowOff>119832</xdr:rowOff>
    </xdr:from>
    <xdr:to>
      <xdr:col>11</xdr:col>
      <xdr:colOff>245382</xdr:colOff>
      <xdr:row>24</xdr:row>
      <xdr:rowOff>67332</xdr:rowOff>
    </xdr:to>
    <xdr:sp macro="[1]!CheckStock" textlink="">
      <xdr:nvSpPr>
        <xdr:cNvPr id="5" name="Rounded Rectangl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18D1E5E-618F-4619-8B7B-FDD215ED81FC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2576721" y="3739332"/>
          <a:ext cx="4643078" cy="9000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rgbClr val="0D496B"/>
              </a:solidFill>
              <a:latin typeface="Adobe Garamond Pro Bold" panose="02020702060506020403" pitchFamily="18" charset="0"/>
              <a:ea typeface="+mn-ea"/>
              <a:cs typeface="+mn-cs"/>
            </a:rPr>
            <a:t>Plant</a:t>
          </a:r>
          <a:r>
            <a:rPr lang="en-IN" sz="4000" baseline="0">
              <a:solidFill>
                <a:srgbClr val="0D496B"/>
              </a:solidFill>
              <a:latin typeface="Adobe Garamond Pro Bold" panose="02020702060506020403" pitchFamily="18" charset="0"/>
              <a:ea typeface="+mn-ea"/>
              <a:cs typeface="+mn-cs"/>
            </a:rPr>
            <a:t> Model</a:t>
          </a:r>
          <a:endParaRPr lang="en-IN" sz="4000">
            <a:solidFill>
              <a:srgbClr val="0D496B"/>
            </a:solidFill>
            <a:latin typeface="Adobe Garamond Pro Bold" panose="02020702060506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7778</xdr:colOff>
      <xdr:row>9</xdr:row>
      <xdr:rowOff>126604</xdr:rowOff>
    </xdr:from>
    <xdr:to>
      <xdr:col>20</xdr:col>
      <xdr:colOff>237605</xdr:colOff>
      <xdr:row>17</xdr:row>
      <xdr:rowOff>31749</xdr:rowOff>
    </xdr:to>
    <xdr:sp macro="[1]!Show_Form" textlink="">
      <xdr:nvSpPr>
        <xdr:cNvPr id="9" name="Rounded Rectangl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84168C-80E1-44B6-BE98-6313C5C0D09E}"/>
            </a:ext>
          </a:extLst>
        </xdr:cNvPr>
        <xdr:cNvSpPr/>
      </xdr:nvSpPr>
      <xdr:spPr>
        <a:xfrm>
          <a:off x="8209861" y="1841104"/>
          <a:ext cx="4526661" cy="1429145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High</a:t>
          </a:r>
          <a:r>
            <a:rPr lang="en-IN" sz="4000" baseline="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 Level Requirements</a:t>
          </a:r>
          <a:endParaRPr lang="en-IN" sz="4000">
            <a:solidFill>
              <a:schemeClr val="lt1"/>
            </a:solidFill>
            <a:latin typeface="Adobe Garamond Pro Bold" panose="02020702060506020403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7778</xdr:colOff>
      <xdr:row>19</xdr:row>
      <xdr:rowOff>128797</xdr:rowOff>
    </xdr:from>
    <xdr:to>
      <xdr:col>20</xdr:col>
      <xdr:colOff>237605</xdr:colOff>
      <xdr:row>24</xdr:row>
      <xdr:rowOff>76297</xdr:rowOff>
    </xdr:to>
    <xdr:sp macro="[1]!CheckStock" textlink="">
      <xdr:nvSpPr>
        <xdr:cNvPr id="10" name="Rounded Rectangl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0B4FA9-3702-4596-8F7A-4E75A93C0613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8209861" y="3748297"/>
          <a:ext cx="4526661" cy="9000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rgbClr val="0D496B"/>
              </a:solidFill>
              <a:latin typeface="Adobe Garamond Pro Bold" panose="02020702060506020403" pitchFamily="18" charset="0"/>
              <a:ea typeface="+mn-ea"/>
              <a:cs typeface="+mn-cs"/>
            </a:rPr>
            <a:t>Field Devices</a:t>
          </a:r>
        </a:p>
      </xdr:txBody>
    </xdr:sp>
    <xdr:clientData/>
  </xdr:twoCellAnchor>
  <xdr:twoCellAnchor>
    <xdr:from>
      <xdr:col>22</xdr:col>
      <xdr:colOff>28576</xdr:colOff>
      <xdr:row>9</xdr:row>
      <xdr:rowOff>126604</xdr:rowOff>
    </xdr:from>
    <xdr:to>
      <xdr:col>29</xdr:col>
      <xdr:colOff>258403</xdr:colOff>
      <xdr:row>17</xdr:row>
      <xdr:rowOff>31749</xdr:rowOff>
    </xdr:to>
    <xdr:sp macro="[1]!CheckStock" textlink="">
      <xdr:nvSpPr>
        <xdr:cNvPr id="15" name="Rounded Rectangle 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07FA0BA-D31B-47A8-9C12-061C123CF8F5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13755159" y="1841104"/>
          <a:ext cx="4526661" cy="1429145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Business Value</a:t>
          </a:r>
          <a:br>
            <a:rPr lang="en-IN" sz="40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</a:br>
          <a:r>
            <a:rPr lang="en-IN" sz="40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 &amp; Risks</a:t>
          </a:r>
        </a:p>
      </xdr:txBody>
    </xdr:sp>
    <xdr:clientData/>
  </xdr:twoCellAnchor>
  <xdr:twoCellAnchor>
    <xdr:from>
      <xdr:col>22</xdr:col>
      <xdr:colOff>28576</xdr:colOff>
      <xdr:row>19</xdr:row>
      <xdr:rowOff>128797</xdr:rowOff>
    </xdr:from>
    <xdr:to>
      <xdr:col>29</xdr:col>
      <xdr:colOff>258403</xdr:colOff>
      <xdr:row>24</xdr:row>
      <xdr:rowOff>76297</xdr:rowOff>
    </xdr:to>
    <xdr:sp macro="[1]!ViewInventory" textlink="">
      <xdr:nvSpPr>
        <xdr:cNvPr id="16" name="Rounded Rectangle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BEF2F1-35E4-4EA2-B73B-55C4DBA8001D}"/>
            </a:ext>
            <a:ext uri="{147F2762-F138-4A5C-976F-8EAC2B608ADB}">
              <a16:predDERef xmlns:a16="http://schemas.microsoft.com/office/drawing/2014/main" pred="{2AE0B726-7EEE-41FF-9840-568A2CE1FFAA}"/>
            </a:ext>
          </a:extLst>
        </xdr:cNvPr>
        <xdr:cNvSpPr/>
      </xdr:nvSpPr>
      <xdr:spPr>
        <a:xfrm>
          <a:off x="13755159" y="3748297"/>
          <a:ext cx="4526661" cy="9000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4000">
              <a:solidFill>
                <a:srgbClr val="0D496B"/>
              </a:solidFill>
              <a:latin typeface="Adobe Garamond Pro Bold"/>
            </a:rPr>
            <a:t>Tags</a:t>
          </a:r>
        </a:p>
      </xdr:txBody>
    </xdr:sp>
    <xdr:clientData/>
  </xdr:twoCellAnchor>
  <xdr:twoCellAnchor>
    <xdr:from>
      <xdr:col>4</xdr:col>
      <xdr:colOff>9204</xdr:colOff>
      <xdr:row>26</xdr:row>
      <xdr:rowOff>176978</xdr:rowOff>
    </xdr:from>
    <xdr:to>
      <xdr:col>11</xdr:col>
      <xdr:colOff>239032</xdr:colOff>
      <xdr:row>31</xdr:row>
      <xdr:rowOff>124478</xdr:rowOff>
    </xdr:to>
    <xdr:sp macro="[1]!CheckStock" textlink="">
      <xdr:nvSpPr>
        <xdr:cNvPr id="12" name="Rounded Rectangle 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DB64C79-C7A4-46D2-B05F-B50EBEDEEB44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2570371" y="5129978"/>
          <a:ext cx="4643078" cy="9000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rgbClr val="0D496B"/>
              </a:solidFill>
              <a:latin typeface="Adobe Garamond Pro Bold" panose="02020702060506020403" pitchFamily="18" charset="0"/>
              <a:ea typeface="+mn-ea"/>
              <a:cs typeface="+mn-cs"/>
            </a:rPr>
            <a:t>Dashboards</a:t>
          </a:r>
        </a:p>
      </xdr:txBody>
    </xdr:sp>
    <xdr:clientData/>
  </xdr:twoCellAnchor>
  <xdr:twoCellAnchor>
    <xdr:from>
      <xdr:col>12</xdr:col>
      <xdr:colOff>606104</xdr:colOff>
      <xdr:row>26</xdr:row>
      <xdr:rowOff>170628</xdr:rowOff>
    </xdr:from>
    <xdr:to>
      <xdr:col>20</xdr:col>
      <xdr:colOff>338515</xdr:colOff>
      <xdr:row>31</xdr:row>
      <xdr:rowOff>118128</xdr:rowOff>
    </xdr:to>
    <xdr:sp macro="[1]!CheckStock" textlink="">
      <xdr:nvSpPr>
        <xdr:cNvPr id="13" name="Rounded Rectangle 1">
          <a:extLst>
            <a:ext uri="{FF2B5EF4-FFF2-40B4-BE49-F238E27FC236}">
              <a16:creationId xmlns:a16="http://schemas.microsoft.com/office/drawing/2014/main" id="{3C21A42D-CFF6-4C68-972A-AC4EBAF2A60C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8194354" y="5123628"/>
          <a:ext cx="4643078" cy="900000"/>
        </a:xfrm>
        <a:prstGeom prst="roundRect">
          <a:avLst/>
        </a:prstGeom>
        <a:solidFill>
          <a:schemeClr val="bg1">
            <a:lumMod val="6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4000">
              <a:solidFill>
                <a:srgbClr val="0D496B"/>
              </a:solidFill>
              <a:latin typeface="Adobe Garamond Pro Bold" panose="02020702060506020403" pitchFamily="18" charset="0"/>
              <a:ea typeface="+mn-ea"/>
              <a:cs typeface="+mn-cs"/>
            </a:rPr>
            <a:t>Hardware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133012</xdr:colOff>
      <xdr:row>0</xdr:row>
      <xdr:rowOff>85904</xdr:rowOff>
    </xdr:from>
    <xdr:to>
      <xdr:col>0</xdr:col>
      <xdr:colOff>533400</xdr:colOff>
      <xdr:row>0</xdr:row>
      <xdr:rowOff>447676</xdr:rowOff>
    </xdr:to>
    <xdr:pic>
      <xdr:nvPicPr>
        <xdr:cNvPr id="4" name="Graphic 3" descr="Hom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224EE8-935B-457F-6E08-B057CFF2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3012" y="85904"/>
          <a:ext cx="400388" cy="3617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76200</xdr:rowOff>
    </xdr:from>
    <xdr:to>
      <xdr:col>1</xdr:col>
      <xdr:colOff>133688</xdr:colOff>
      <xdr:row>0</xdr:row>
      <xdr:rowOff>437972</xdr:rowOff>
    </xdr:to>
    <xdr:pic>
      <xdr:nvPicPr>
        <xdr:cNvPr id="4" name="Graphic 3" descr="Hom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D693AA-4362-48B4-BC90-54627DB76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625" y="76200"/>
          <a:ext cx="400388" cy="3617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200025</xdr:rowOff>
    </xdr:from>
    <xdr:to>
      <xdr:col>0</xdr:col>
      <xdr:colOff>552788</xdr:colOff>
      <xdr:row>1</xdr:row>
      <xdr:rowOff>28397</xdr:rowOff>
    </xdr:to>
    <xdr:pic>
      <xdr:nvPicPr>
        <xdr:cNvPr id="2" name="Graphic 1" descr="Hom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A8FA68-BB2A-451D-870C-4316252D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2400" y="200025"/>
          <a:ext cx="400388" cy="3617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88900</xdr:rowOff>
    </xdr:from>
    <xdr:to>
      <xdr:col>2</xdr:col>
      <xdr:colOff>1030177</xdr:colOff>
      <xdr:row>3</xdr:row>
      <xdr:rowOff>12700</xdr:rowOff>
    </xdr:to>
    <xdr:sp macro="[1]!Show_Form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81163D-810F-4BDD-823E-E15A57815A86}"/>
            </a:ext>
          </a:extLst>
        </xdr:cNvPr>
        <xdr:cNvSpPr/>
      </xdr:nvSpPr>
      <xdr:spPr>
        <a:xfrm>
          <a:off x="3098800" y="88900"/>
          <a:ext cx="915877" cy="476250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53916</xdr:colOff>
      <xdr:row>0</xdr:row>
      <xdr:rowOff>95849</xdr:rowOff>
    </xdr:from>
    <xdr:to>
      <xdr:col>2</xdr:col>
      <xdr:colOff>969793</xdr:colOff>
      <xdr:row>3</xdr:row>
      <xdr:rowOff>14976</xdr:rowOff>
    </xdr:to>
    <xdr:sp macro="[1]!Show_Form" textlink="">
      <xdr:nvSpPr>
        <xdr:cNvPr id="4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BAFA39-56C1-4B23-B937-853D9AA3DE2C}"/>
            </a:ext>
          </a:extLst>
        </xdr:cNvPr>
        <xdr:cNvSpPr/>
      </xdr:nvSpPr>
      <xdr:spPr>
        <a:xfrm>
          <a:off x="1743256" y="95849"/>
          <a:ext cx="915877" cy="476250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31750</xdr:colOff>
      <xdr:row>0</xdr:row>
      <xdr:rowOff>63500</xdr:rowOff>
    </xdr:from>
    <xdr:to>
      <xdr:col>2</xdr:col>
      <xdr:colOff>947627</xdr:colOff>
      <xdr:row>2</xdr:row>
      <xdr:rowOff>171450</xdr:rowOff>
    </xdr:to>
    <xdr:sp macro="[1]!Show_Form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74CD9-24E7-4344-A47B-75208EAB3660}"/>
            </a:ext>
          </a:extLst>
        </xdr:cNvPr>
        <xdr:cNvSpPr/>
      </xdr:nvSpPr>
      <xdr:spPr>
        <a:xfrm>
          <a:off x="1708150" y="63500"/>
          <a:ext cx="915877" cy="476250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38100</xdr:rowOff>
    </xdr:from>
    <xdr:to>
      <xdr:col>2</xdr:col>
      <xdr:colOff>992077</xdr:colOff>
      <xdr:row>2</xdr:row>
      <xdr:rowOff>146050</xdr:rowOff>
    </xdr:to>
    <xdr:sp macro="[1]!Show_Form" textlink="">
      <xdr:nvSpPr>
        <xdr:cNvPr id="3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ABB51-AA17-4259-BF4C-AE88A3E4C526}"/>
            </a:ext>
          </a:extLst>
        </xdr:cNvPr>
        <xdr:cNvSpPr/>
      </xdr:nvSpPr>
      <xdr:spPr>
        <a:xfrm>
          <a:off x="2686050" y="222250"/>
          <a:ext cx="915877" cy="476250"/>
        </a:xfrm>
        <a:prstGeom prst="roundRect">
          <a:avLst/>
        </a:prstGeom>
        <a:solidFill>
          <a:srgbClr val="164E6E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002">
          <a:schemeClr val="dk2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>
              <a:solidFill>
                <a:schemeClr val="lt1"/>
              </a:solidFill>
              <a:latin typeface="Adobe Garamond Pro Bold" panose="02020702060506020403" pitchFamily="18" charset="0"/>
              <a:ea typeface="+mn-ea"/>
              <a:cs typeface="+mn-cs"/>
            </a:rPr>
            <a:t>Home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ojects/00-00%20Inventory/BoM%20for%20Stock%20Orders%20-%20Feb%20'25.xlsx" TargetMode="External"/><Relationship Id="rId2" Type="http://schemas.openxmlformats.org/officeDocument/2006/relationships/externalLinkPath" Target="https://smartfactoryie.sharepoint.com/sites/SmartFactoryTeamSite/Shared%20Documents/Projects/00-00%20Inventory/BoM%20for%20Stock%20Orders%20-%20Feb%20'25.xlsx" TargetMode="External"/><Relationship Id="rId1" Type="http://schemas.openxmlformats.org/officeDocument/2006/relationships/externalLinkPath" Target="/sites/SmartFactoryTeamSite/Shared%20Documents/Projects/00-00%20Inventory/BoM%20for%20Stock%20Orders%20-%20Feb%20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Summary"/>
      <sheetName val="IT_Infrastructure"/>
      <sheetName val="Licenses_Software (2)"/>
      <sheetName val="BoM_Summary"/>
      <sheetName val="BoM_Summary-Siemens"/>
      <sheetName val="BoM_Summary-Banner"/>
      <sheetName val="BoM_Summary-Sick"/>
      <sheetName val="BoM_Summary-Other"/>
      <sheetName val="IT_Infrastructure (2)"/>
      <sheetName val="Universal_Gateway"/>
      <sheetName val="DXM_Panel"/>
      <sheetName val="UDC_Panel"/>
      <sheetName val="UGP_Panel"/>
      <sheetName val="M874_Scalance"/>
      <sheetName val="Universal Gateway"/>
      <sheetName val="Universal_Data_Collector"/>
      <sheetName val="S615_Scalance"/>
      <sheetName val="Universal Data Collector"/>
      <sheetName val="DXM_Gateway"/>
      <sheetName val="DXM Gateway"/>
      <sheetName val="Wireless_Sensors"/>
      <sheetName val="Condition_Monitoring_Sensors"/>
      <sheetName val="Sensors_Process_Control"/>
      <sheetName val="Sensors_Process_Verification"/>
      <sheetName val="WAPS_Viewer_Hardware"/>
      <sheetName val="Sensors_Vehicle_Detection"/>
      <sheetName val="Sensors"/>
      <sheetName val="Viewer Hardware"/>
      <sheetName val="Licenses_Software"/>
      <sheetName val="Displays"/>
      <sheetName val="Process Control"/>
      <sheetName val="Pick-to-Light"/>
      <sheetName val="RTLS"/>
      <sheetName val="Workstations"/>
      <sheetName val="Pick-to-Light Carousel"/>
      <sheetName val="IT Infrastructure"/>
      <sheetName val="BoM for Stock Orders - Feb '25"/>
    </sheetNames>
    <definedNames>
      <definedName name="CheckStock"/>
      <definedName name="Show_Form"/>
      <definedName name="ViewInventory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EA6E39-82EE-4716-8855-230EAABC7EB3}" name="Plant_Model" displayName="Plant_Model" ref="A6:G13" totalsRowCount="1" headerRowDxfId="101">
  <autoFilter ref="A6:G12" xr:uid="{16EA6E39-82EE-4716-8855-230EAABC7EB3}"/>
  <tableColumns count="7">
    <tableColumn id="1" xr3:uid="{EC8E139E-E6BA-4A4A-9A7E-B8DE7E9388F2}" name="Site" totalsRowLabel="Total"/>
    <tableColumn id="2" xr3:uid="{D3955702-BFBB-408F-8D74-BA842090A36D}" name="Value Stream/ Department" totalsRowFunction="sum"/>
    <tableColumn id="3" xr3:uid="{D58A7401-EBD2-465B-8218-A4839783AB36}" name="Line/Cell Name" totalsRowFunction="sum"/>
    <tableColumn id="4" xr3:uid="{A02D119D-C2BD-4342-8F54-010C7FDBB2E9}" name="Production Unit Name" totalsRowFunction="sum"/>
    <tableColumn id="5" xr3:uid="{EB18F76C-3D8E-4901-8973-1DABC3C73FA7}" name="Downtime Constraint" totalsRowFunction="custom">
      <totalsRowFormula>SUBTOTAL(109,Plant_Model[Production Unit Name])</totalsRowFormula>
    </tableColumn>
    <tableColumn id="6" xr3:uid="{8FE8EAAE-1E60-4F61-83DC-33B450661786}" name="Product Count Constraint" totalsRowFunction="custom">
      <totalsRowFormula>SUBTOTAL(109,Plant_Model[Production Unit Name])</totalsRowFormula>
    </tableColumn>
    <tableColumn id="7" xr3:uid="{3C4B11B2-E333-409A-9B7A-B39BFC7C987E}" name="Step" totalsRowFunction="custom">
      <totalsRowFormula>SUBTOTAL(109,Plant_Model[Production Unit Name])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E558257-1DD9-4CB7-8286-E598BA525205}" name="Scope" displayName="Scope" ref="A6:P13" totalsRowCount="1" headerRowDxfId="100" dataDxfId="99" totalsRowDxfId="98">
  <autoFilter ref="A6:P12" xr:uid="{9842BE67-37C5-42BF-B205-C62D68B796E7}"/>
  <tableColumns count="16">
    <tableColumn id="1" xr3:uid="{B3953425-F0E8-4648-8C1B-85EF798252B8}" name="Site" totalsRowLabel="Total" dataDxfId="96" totalsRowDxfId="97">
      <calculatedColumnFormula>'Plant Model'!A7</calculatedColumnFormula>
    </tableColumn>
    <tableColumn id="2" xr3:uid="{138ADC90-2CCE-46D1-A840-50B5D3FF9E41}" name="Value Stream" dataDxfId="94" totalsRowDxfId="95">
      <calculatedColumnFormula>'Plant Model'!B7</calculatedColumnFormula>
    </tableColumn>
    <tableColumn id="3" xr3:uid="{E6CA38C8-5C6F-46CD-AED2-D6BFF1FBD7CD}" name="Process" dataDxfId="92" totalsRowDxfId="93">
      <calculatedColumnFormula>'Plant Model'!C7</calculatedColumnFormula>
    </tableColumn>
    <tableColumn id="5" xr3:uid="{DD1F85E3-563D-4078-AF36-7F61E4F504DB}" name="PU" dataDxfId="90" totalsRowDxfId="91" dataCellStyle="Hyperlink">
      <calculatedColumnFormula>'Plant Model'!D7</calculatedColumnFormula>
    </tableColumn>
    <tableColumn id="29" xr3:uid="{B0FBFE97-6143-4024-9DF5-16C0E5EF8E7C}" name="Proposal " dataDxfId="88" totalsRowDxfId="89"/>
    <tableColumn id="4" xr3:uid="{B91507A7-427B-4B6E-9017-72A1CDCA2CD5}" name="PLC Number" totalsRowFunction="sum" dataDxfId="86" totalsRowDxfId="87"/>
    <tableColumn id="8" xr3:uid="{6484CBB0-89E8-4AEA-90F0-D84046F58E9D}" name="PLC  Brand/Model" dataDxfId="84" totalsRowDxfId="85"/>
    <tableColumn id="28" xr3:uid="{D524566F-AE5D-4094-A4AF-EDE1AC17CE14}" name="TL70_x000a_Counter/Call For Help" totalsRowFunction="sum" dataDxfId="82" totalsRowDxfId="83"/>
    <tableColumn id="25" xr3:uid="{0D2B4539-56E3-40AA-87C4-C2C59BFC2685}" name="Call for Help (Button + Light)" totalsRowFunction="sum" dataDxfId="80" totalsRowDxfId="81"/>
    <tableColumn id="6" xr3:uid="{9226136F-C55D-45EA-85F4-6407B0D13F4F}" name="Set Up Switch_x000a_(Button+Light)" totalsRowFunction="sum" dataDxfId="78" totalsRowDxfId="79"/>
    <tableColumn id="27" xr3:uid="{1499B3AC-44EF-4332-BBA3-669C708EF2ED}" name="Photooptic Sensor" totalsRowFunction="sum" dataDxfId="76" totalsRowDxfId="77"/>
    <tableColumn id="9" xr3:uid="{0EDC7D91-2D73-4C4F-B995-D6EA5EC19159}" name="Current Sensor" totalsRowFunction="sum" dataDxfId="74" totalsRowDxfId="75"/>
    <tableColumn id="7" xr3:uid="{BBDF61C1-7E83-4309-8FBF-CDE46F98D06A}" name="Current Sensor 0.5 mA" totalsRowFunction="sum" dataDxfId="72" totalsRowDxfId="73"/>
    <tableColumn id="10" xr3:uid="{FCF806A5-DDEA-44F0-85DC-0175746843F5}" name="Festo Pressure switch" totalsRowFunction="sum" dataDxfId="70" totalsRowDxfId="71"/>
    <tableColumn id="26" xr3:uid="{499B220B-F015-46DA-B42C-8D004479A34D}" name="Wireless Pendant" totalsRowFunction="sum" dataDxfId="68" totalsRowDxfId="69"/>
    <tableColumn id="22" xr3:uid="{E2B3B168-0A94-44B9-858F-939B1A889177}" name="Comments" dataDxfId="66" totalsRowDxfId="6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DCA684-9E8A-4F5F-8099-BB45B7F755BE}" name="Data_Sources" displayName="Data_Sources" ref="A6:F12" totalsRowCount="1" headerRowDxfId="65" dataDxfId="64" totalsRowDxfId="63">
  <autoFilter ref="A6:F11" xr:uid="{9842BE67-37C5-42BF-B205-C62D68B796E7}"/>
  <tableColumns count="6">
    <tableColumn id="1" xr3:uid="{E1233F17-F5C2-4A0E-B56C-1001EA1A6919}" name="Site" totalsRowLabel="Total" dataDxfId="61" totalsRowDxfId="62">
      <calculatedColumnFormula>'Plant Model'!A7</calculatedColumnFormula>
    </tableColumn>
    <tableColumn id="2" xr3:uid="{7A96F7CE-38D2-402E-A889-DE98437AB0B2}" name="Value Stream" dataDxfId="59" totalsRowDxfId="60">
      <calculatedColumnFormula>'Plant Model'!B7</calculatedColumnFormula>
    </tableColumn>
    <tableColumn id="3" xr3:uid="{13CC0AC4-BBA3-4385-B5CF-CE65F328B22F}" name="Process" dataDxfId="57" totalsRowDxfId="58">
      <calculatedColumnFormula>'Plant Model'!C7</calculatedColumnFormula>
    </tableColumn>
    <tableColumn id="5" xr3:uid="{DFE6ABBD-C7F9-4C2A-B9BB-BFFAD7851677}" name="PU" dataDxfId="55" totalsRowDxfId="56" dataCellStyle="Hyperlink">
      <calculatedColumnFormula>'Plant Model'!D7</calculatedColumnFormula>
    </tableColumn>
    <tableColumn id="8" xr3:uid="{A9AB35F4-BDEF-4DC5-9B74-C4417905EF29}" name="Tags" totalsRowFunction="sum" dataDxfId="53" totalsRowDxfId="54"/>
    <tableColumn id="9" xr3:uid="{323D44A3-3C6E-428E-AE3E-97DC5F642ACB}" name="Comments" totalsRowFunction="sum" dataDxfId="51" totalsRowDxfId="5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11AA068-B26E-46BD-B38F-B939E0B72B31}" name="Table13" displayName="Table13" ref="A16:C22" totalsRowShown="0" tableBorderDxfId="50">
  <autoFilter ref="A16:C22" xr:uid="{F11AA068-B26E-46BD-B38F-B939E0B72B31}"/>
  <tableColumns count="3">
    <tableColumn id="1" xr3:uid="{2510E929-6843-4A7F-84FE-2A9DC257044F}" name="PU" dataDxfId="49">
      <calculatedColumnFormula>'Plant Model'!$D$11</calculatedColumnFormula>
    </tableColumn>
    <tableColumn id="2" xr3:uid="{55A9DE7A-6126-420A-AF29-E2BFEA6A6313}" name="Equipment" dataDxfId="48"/>
    <tableColumn id="3" xr3:uid="{464CD7DD-C24C-4602-B10F-0B7059DB5E67}" name="Tag" dataDxfId="47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690989-3834-4006-B5BF-2A475ADB870C}" name="Visualization" displayName="Visualization" ref="A6:K8" totalsRowCount="1" headerRowDxfId="46">
  <autoFilter ref="A6:K7" xr:uid="{293385A9-39AF-4A21-846B-8F904D0FD2D7}"/>
  <tableColumns count="11">
    <tableColumn id="1" xr3:uid="{8C642E3E-322D-480A-A779-43C8CD92C6B9}" name="Site" totalsRowLabel="Total" dataDxfId="44" totalsRowDxfId="45"/>
    <tableColumn id="10" xr3:uid="{09827D04-0EFE-4FCD-9BAC-998BD2E10822}" name="Site View" totalsRowFunction="sum" totalsRowDxfId="43"/>
    <tableColumn id="13" xr3:uid="{7BA4CEF5-A74A-410E-B709-DB2E7001EEC2}" name="Energy Consumption" totalsRowFunction="sum" totalsRowDxfId="42"/>
    <tableColumn id="14" xr3:uid="{F04BAA7B-41B3-4491-8B20-7C4A3610ACF0}" name="Utility Consumption" totalsRowFunction="sum" totalsRowDxfId="41"/>
    <tableColumn id="15" xr3:uid="{0025EA02-F48C-4FE1-864C-AA2683368A9D}" name="Work Order Manager" totalsRowFunction="sum" totalsRowDxfId="40"/>
    <tableColumn id="19" xr3:uid="{8C1300E3-5C8C-46A4-95E9-67833EA45C2F}" name="Condition Monitoring" totalsRowFunction="sum" totalsRowDxfId="39"/>
    <tableColumn id="21" xr3:uid="{9A36847A-76B5-4E23-8F20-9FCAAB6CB214}" name="Reporting (Power BI)" totalsRowFunction="sum" totalsRowDxfId="38"/>
    <tableColumn id="2" xr3:uid="{C2A12754-6DF4-4ABC-9BB8-08373A173E05}" name="Map Site View" totalsRowFunction="sum" totalsRowDxfId="37"/>
    <tableColumn id="24" xr3:uid="{55DFD7C2-025F-46C2-A15C-E1A229E1D523}" name="Product Manager" totalsRowFunction="sum" totalsRowDxfId="36"/>
    <tableColumn id="25" xr3:uid="{6AB516E1-CDFD-4310-AA2B-7B50CD5BD73D}" name="Scheduler" totalsRowFunction="sum" totalsRowDxfId="35"/>
    <tableColumn id="3" xr3:uid="{87D5F570-80F9-4112-8C0A-5AED1D0C60EE}" name="Shift Report" totalsRowFunction="sum" totalsRowDxfId="3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9520D9-B6E4-416B-8CD5-D036A04B4821}" name="Table14" displayName="Table14" ref="A10:M16" totalsRowCount="1" dataDxfId="33">
  <autoFilter ref="A10:M15" xr:uid="{339520D9-B6E4-416B-8CD5-D036A04B4821}"/>
  <tableColumns count="13">
    <tableColumn id="1" xr3:uid="{B052F2F0-DE85-4416-99CE-108B516CEF95}" name="Site" totalsRowLabel="Total" dataDxfId="31" totalsRowDxfId="32">
      <calculatedColumnFormula>'Plant Model'!A7</calculatedColumnFormula>
    </tableColumn>
    <tableColumn id="2" xr3:uid="{5900E29F-810A-4037-A77D-FD72612BEB78}" name="Value Stream/ Department" dataDxfId="29" totalsRowDxfId="30">
      <calculatedColumnFormula>'Plant Model'!B7</calculatedColumnFormula>
    </tableColumn>
    <tableColumn id="3" xr3:uid="{1420B132-7646-4BDD-8376-941EA2B623AB}" name="Line/Cell Name" dataDxfId="27" totalsRowDxfId="28">
      <calculatedColumnFormula>'Plant Model'!C7</calculatedColumnFormula>
    </tableColumn>
    <tableColumn id="7" xr3:uid="{040608D6-36FB-4D7D-BD67-2BBDADF5FDC9}" name="Cell View" totalsRowFunction="sum" dataDxfId="26"/>
    <tableColumn id="8" xr3:uid="{56463AB1-01B9-4164-B167-78F333D97793}" name="Line View" totalsRowFunction="sum" dataDxfId="25"/>
    <tableColumn id="9" xr3:uid="{EF8E48E1-D962-49B2-8E4B-4A8556D1B535}" name="Grid View" totalsRowFunction="sum" dataDxfId="24"/>
    <tableColumn id="11" xr3:uid="{25A176D6-B0DF-4F0F-B274-8822F63071EF}" name="Call for Help" totalsRowFunction="sum" dataDxfId="23"/>
    <tableColumn id="12" xr3:uid="{24815150-717F-497D-9316-F79A2A10A51E}" name="Call for Parts" totalsRowFunction="sum" dataDxfId="22"/>
    <tableColumn id="13" xr3:uid="{1107ED16-8BF5-458B-8E40-9979AC1E5EC8}" name="Energy Consumption" totalsRowFunction="sum" dataDxfId="21"/>
    <tableColumn id="14" xr3:uid="{44F016C7-E822-4A5A-9501-EA6247ECECF9}" name="Utility Consumption" totalsRowFunction="sum" dataDxfId="20"/>
    <tableColumn id="17" xr3:uid="{923BD93A-68C8-45F4-8C02-541C4561FFB6}" name="Process Verification" totalsRowFunction="sum" dataDxfId="19"/>
    <tableColumn id="19" xr3:uid="{B532CCB4-A94A-4544-B2F0-E06762F3C91D}" name="Condition Monitoring" totalsRowFunction="sum" dataDxfId="18"/>
    <tableColumn id="4" xr3:uid="{83FAF69E-A9BB-47C6-857E-430EC8893527}" name="Shift Report" totalsRowFunction="sum" dataDxfId="17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26DDC1-169E-4FDC-AC99-51C3A35AC40B}" name="Table15" displayName="Table15" ref="A18:M25" totalsRowCount="1">
  <autoFilter ref="A18:M24" xr:uid="{6026DDC1-169E-4FDC-AC99-51C3A35AC40B}"/>
  <tableColumns count="13">
    <tableColumn id="1" xr3:uid="{C2767B27-BE2C-47D9-BE59-FD7403979B81}" name="Site" totalsRowLabel="Total" dataDxfId="15" totalsRowDxfId="16">
      <calculatedColumnFormula>'Plant Model'!A7</calculatedColumnFormula>
    </tableColumn>
    <tableColumn id="2" xr3:uid="{37DBBB61-030C-4A23-A832-12EFF484D012}" name="Value Stream/ Department" dataDxfId="13" totalsRowDxfId="14">
      <calculatedColumnFormula>'Plant Model'!B7</calculatedColumnFormula>
    </tableColumn>
    <tableColumn id="3" xr3:uid="{C86263F0-EFA0-4FAB-BB35-6DD5CEB32CF9}" name="Line/Cell Name" dataDxfId="11" totalsRowDxfId="12">
      <calculatedColumnFormula>'Plant Model'!C7</calculatedColumnFormula>
    </tableColumn>
    <tableColumn id="4" xr3:uid="{0494CC31-1059-495A-8AE7-BBEBE00E566E}" name="Production Unit Name" dataDxfId="9" totalsRowDxfId="10">
      <calculatedColumnFormula>'Plant Model'!D7</calculatedColumnFormula>
    </tableColumn>
    <tableColumn id="5" xr3:uid="{979530CE-1088-4C7C-B518-37BD651C27A4}" name="Downtime Viewer (DTVR)" totalsRowFunction="sum" dataDxfId="8"/>
    <tableColumn id="6" xr3:uid="{C8BFC506-5B46-46D5-A298-AEA9BA37D45F}" name="Manual Data Entry System (MDES)" totalsRowFunction="sum" dataDxfId="7"/>
    <tableColumn id="11" xr3:uid="{0F165F17-9941-443E-8533-FCC6C5615F7D}" name="Call for Help" totalsRowFunction="sum" dataDxfId="6"/>
    <tableColumn id="12" xr3:uid="{64E02697-FE75-4C0C-B128-CB1B3D0C22FC}" name="Call for Parts" totalsRowFunction="sum" dataDxfId="5"/>
    <tableColumn id="13" xr3:uid="{5BEB10C0-C324-4FBA-B565-EA024D855584}" name="Energy Consumption" totalsRowFunction="sum" dataDxfId="4"/>
    <tableColumn id="14" xr3:uid="{1644212A-A0DC-4821-BCE2-68D2C9B84ACE}" name="Utility Consumption" totalsRowFunction="sum" dataDxfId="3"/>
    <tableColumn id="17" xr3:uid="{D0B17719-B27A-4BBB-A733-138EEAECED50}" name="Process Verification" totalsRowFunction="sum" dataDxfId="2"/>
    <tableColumn id="19" xr3:uid="{D0DF4988-530B-4E2E-ABA5-F75978B18E50}" name="Condition Monitoring" totalsRowFunction="sum" dataDxfId="1"/>
    <tableColumn id="7" xr3:uid="{9ECB7C4C-7DE5-43A7-AD76-7379A1B2F570}" name="Pick to Light" totalsRowFunction="sum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teripackgroup.sharepoint.com/sites/SmartFactory2022/Shared%20Documents/General/Technical%20documents/01.%20Plant%20Model,%20equipment%20and%20lay%20out%20drawings/Equipment%20and%20proces%20notes.docx" TargetMode="Externa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B891-90E8-4384-99FD-D0C9156AD3BF}">
  <sheetPr codeName="Sheet6">
    <tabColor theme="0" tint="-0.14999847407452621"/>
    <pageSetUpPr autoPageBreaks="0" fitToPage="1"/>
  </sheetPr>
  <dimension ref="A36:AB42"/>
  <sheetViews>
    <sheetView showGridLines="0" showRowColHeaders="0" showZeros="0" zoomScale="90" zoomScaleNormal="90" workbookViewId="0"/>
  </sheetViews>
  <sheetFormatPr defaultRowHeight="15"/>
  <cols>
    <col min="2" max="2" width="10.85546875" bestFit="1" customWidth="1"/>
    <col min="8" max="8" width="11" bestFit="1" customWidth="1"/>
  </cols>
  <sheetData>
    <row r="36" spans="1:28" ht="18.75">
      <c r="G36" s="40"/>
    </row>
    <row r="37" spans="1:28">
      <c r="I37" s="4"/>
    </row>
    <row r="38" spans="1:28">
      <c r="Y38" s="103" t="s">
        <v>0</v>
      </c>
      <c r="Z38" s="103"/>
      <c r="AA38" s="103"/>
      <c r="AB38" s="103"/>
    </row>
    <row r="39" spans="1:28">
      <c r="Y39" s="93"/>
      <c r="Z39" s="20" t="s">
        <v>1</v>
      </c>
      <c r="AA39" s="20"/>
      <c r="AB39" s="94"/>
    </row>
    <row r="40" spans="1:28">
      <c r="Y40" s="95"/>
      <c r="Z40" s="47" t="s">
        <v>2</v>
      </c>
      <c r="AA40" s="47"/>
      <c r="AB40" s="96"/>
    </row>
    <row r="41" spans="1:28">
      <c r="A41" s="92" t="s">
        <v>3</v>
      </c>
      <c r="B41" s="92" t="s">
        <v>4</v>
      </c>
      <c r="C41" s="92" t="s">
        <v>5</v>
      </c>
    </row>
    <row r="42" spans="1:28">
      <c r="A42" s="91">
        <v>5.3</v>
      </c>
      <c r="B42" s="89" t="s">
        <v>6</v>
      </c>
      <c r="C42" s="90">
        <v>45393</v>
      </c>
    </row>
  </sheetData>
  <mergeCells count="1">
    <mergeCell ref="Y38:AB38"/>
  </mergeCells>
  <pageMargins left="0.17" right="0.17" top="0.74803149606299213" bottom="0.74803149606299213" header="0.31496062992125984" footer="0.31496062992125984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546A-8560-434F-B8AC-21987F22E84A}">
  <sheetPr codeName="Sheet1">
    <tabColor rgb="FF0D496B"/>
    <outlinePr summaryBelow="0"/>
    <pageSetUpPr fitToPage="1"/>
  </sheetPr>
  <dimension ref="A1:D32"/>
  <sheetViews>
    <sheetView tabSelected="1" workbookViewId="0">
      <selection activeCell="B3" sqref="B3"/>
    </sheetView>
  </sheetViews>
  <sheetFormatPr defaultColWidth="8.7109375" defaultRowHeight="15" outlineLevelRow="1"/>
  <cols>
    <col min="1" max="1" width="56.28515625" customWidth="1"/>
    <col min="2" max="2" width="24.7109375" customWidth="1"/>
    <col min="3" max="3" width="21.5703125" customWidth="1"/>
    <col min="4" max="4" width="84.5703125" style="12" bestFit="1" customWidth="1"/>
    <col min="5" max="5" width="13.140625" customWidth="1"/>
  </cols>
  <sheetData>
    <row r="1" spans="1:4" ht="42" customHeight="1" thickBot="1">
      <c r="A1" s="104" t="s">
        <v>7</v>
      </c>
      <c r="B1" s="105"/>
      <c r="C1" s="105"/>
      <c r="D1" s="106"/>
    </row>
    <row r="2" spans="1:4" ht="32.25" customHeight="1">
      <c r="A2" s="19" t="s">
        <v>8</v>
      </c>
      <c r="B2" s="107" t="s">
        <v>9</v>
      </c>
      <c r="C2" s="107"/>
      <c r="D2" s="107"/>
    </row>
    <row r="3" spans="1:4" outlineLevel="1">
      <c r="A3" s="5" t="s">
        <v>10</v>
      </c>
      <c r="B3" s="6"/>
      <c r="C3" s="14"/>
      <c r="D3" s="7"/>
    </row>
    <row r="4" spans="1:4" outlineLevel="1">
      <c r="A4" s="5" t="s">
        <v>11</v>
      </c>
      <c r="B4" s="13"/>
      <c r="C4" s="15"/>
      <c r="D4" s="7"/>
    </row>
    <row r="5" spans="1:4" outlineLevel="1">
      <c r="A5" s="5" t="s">
        <v>12</v>
      </c>
      <c r="B5" s="6"/>
      <c r="C5" s="14"/>
      <c r="D5" s="8"/>
    </row>
    <row r="6" spans="1:4" s="3" customFormat="1" outlineLevel="1">
      <c r="A6" s="5" t="s">
        <v>13</v>
      </c>
      <c r="B6" s="9"/>
      <c r="C6" s="16"/>
      <c r="D6" s="10"/>
    </row>
    <row r="7" spans="1:4" s="3" customFormat="1" outlineLevel="1">
      <c r="A7" s="5" t="s">
        <v>5</v>
      </c>
      <c r="B7" s="11"/>
      <c r="C7" s="17"/>
      <c r="D7" s="10"/>
    </row>
    <row r="8" spans="1:4" s="3" customFormat="1" outlineLevel="1">
      <c r="A8" s="5" t="s">
        <v>14</v>
      </c>
      <c r="B8" s="11"/>
      <c r="C8" s="17"/>
      <c r="D8" s="10"/>
    </row>
    <row r="9" spans="1:4" s="3" customFormat="1" ht="93.75" customHeight="1" outlineLevel="1">
      <c r="A9" s="5" t="s">
        <v>15</v>
      </c>
      <c r="B9" s="109"/>
      <c r="C9" s="110"/>
      <c r="D9" s="111"/>
    </row>
    <row r="10" spans="1:4" s="3" customFormat="1" ht="32.25" customHeight="1">
      <c r="A10" s="76" t="s">
        <v>16</v>
      </c>
      <c r="B10" s="108" t="s">
        <v>17</v>
      </c>
      <c r="C10" s="108"/>
      <c r="D10" s="108"/>
    </row>
    <row r="11" spans="1:4" s="3" customFormat="1" ht="117" customHeight="1" outlineLevel="1">
      <c r="A11" s="77" t="s">
        <v>18</v>
      </c>
      <c r="B11" s="113"/>
      <c r="C11" s="114"/>
      <c r="D11" s="115"/>
    </row>
    <row r="12" spans="1:4" s="3" customFormat="1" ht="39" customHeight="1" outlineLevel="1">
      <c r="A12" s="77" t="s">
        <v>19</v>
      </c>
      <c r="B12" s="53"/>
      <c r="C12" s="54"/>
      <c r="D12" s="10"/>
    </row>
    <row r="13" spans="1:4" s="3" customFormat="1" ht="39" customHeight="1" outlineLevel="1">
      <c r="A13" s="77" t="s">
        <v>20</v>
      </c>
      <c r="B13" s="53"/>
      <c r="C13" s="54"/>
      <c r="D13" s="10"/>
    </row>
    <row r="14" spans="1:4" s="3" customFormat="1" ht="39" customHeight="1" outlineLevel="1">
      <c r="A14" s="77" t="s">
        <v>21</v>
      </c>
      <c r="B14" s="53"/>
      <c r="C14" s="54"/>
      <c r="D14" s="10"/>
    </row>
    <row r="15" spans="1:4" s="3" customFormat="1" ht="39" customHeight="1" outlineLevel="1">
      <c r="A15" s="77" t="s">
        <v>22</v>
      </c>
      <c r="B15" s="53"/>
      <c r="C15" s="54"/>
      <c r="D15" s="10"/>
    </row>
    <row r="16" spans="1:4" s="3" customFormat="1" ht="39" customHeight="1" outlineLevel="1">
      <c r="A16" s="77" t="s">
        <v>23</v>
      </c>
      <c r="B16" s="53"/>
      <c r="C16" s="54"/>
      <c r="D16" s="10"/>
    </row>
    <row r="17" spans="1:4" s="3" customFormat="1" ht="39" customHeight="1" outlineLevel="1">
      <c r="A17" s="77" t="s">
        <v>24</v>
      </c>
      <c r="B17" s="53"/>
      <c r="C17" s="54"/>
      <c r="D17" s="10"/>
    </row>
    <row r="18" spans="1:4" s="3" customFormat="1" ht="39" customHeight="1" outlineLevel="1">
      <c r="A18" s="77" t="s">
        <v>25</v>
      </c>
      <c r="B18" s="53"/>
      <c r="C18" s="54"/>
      <c r="D18" s="10"/>
    </row>
    <row r="19" spans="1:4" s="3" customFormat="1" ht="39" customHeight="1" outlineLevel="1">
      <c r="A19" s="77" t="s">
        <v>26</v>
      </c>
      <c r="B19" s="53"/>
      <c r="C19" s="54"/>
      <c r="D19" s="10"/>
    </row>
    <row r="20" spans="1:4" s="3" customFormat="1" ht="39" customHeight="1" outlineLevel="1">
      <c r="A20" s="77" t="s">
        <v>27</v>
      </c>
      <c r="B20" s="53"/>
      <c r="C20" s="54"/>
      <c r="D20" s="10"/>
    </row>
    <row r="21" spans="1:4" s="3" customFormat="1" ht="39" customHeight="1" outlineLevel="1">
      <c r="A21" s="77" t="s">
        <v>28</v>
      </c>
      <c r="B21" s="53"/>
      <c r="C21" s="54"/>
      <c r="D21" s="10"/>
    </row>
    <row r="22" spans="1:4" s="3" customFormat="1" ht="39" customHeight="1" outlineLevel="1">
      <c r="A22" s="5"/>
      <c r="B22" s="53"/>
      <c r="C22" s="54"/>
      <c r="D22" s="10"/>
    </row>
    <row r="23" spans="1:4" s="3" customFormat="1" ht="32.25" customHeight="1">
      <c r="A23" s="18" t="s">
        <v>29</v>
      </c>
      <c r="B23" s="112" t="s">
        <v>30</v>
      </c>
      <c r="C23" s="108"/>
      <c r="D23" s="108"/>
    </row>
    <row r="24" spans="1:4" s="3" customFormat="1" ht="65.25" customHeight="1" outlineLevel="1">
      <c r="A24" s="77"/>
      <c r="B24" s="113"/>
      <c r="C24" s="114"/>
      <c r="D24" s="115"/>
    </row>
    <row r="25" spans="1:4" s="3" customFormat="1" ht="65.25" customHeight="1" outlineLevel="1">
      <c r="A25" s="77"/>
      <c r="B25" s="53"/>
      <c r="C25" s="54"/>
      <c r="D25" s="10"/>
    </row>
    <row r="26" spans="1:4" s="3" customFormat="1" ht="65.25" customHeight="1" outlineLevel="1">
      <c r="A26" s="77"/>
      <c r="B26" s="113"/>
      <c r="C26" s="114"/>
      <c r="D26" s="115"/>
    </row>
    <row r="27" spans="1:4" s="3" customFormat="1" ht="32.25" customHeight="1">
      <c r="A27" s="18" t="s">
        <v>31</v>
      </c>
      <c r="B27" s="108" t="s">
        <v>32</v>
      </c>
      <c r="C27" s="108"/>
      <c r="D27" s="108"/>
    </row>
    <row r="28" spans="1:4" s="3" customFormat="1" ht="65.25" customHeight="1" outlineLevel="1">
      <c r="A28" s="77" t="s">
        <v>33</v>
      </c>
      <c r="B28" s="113"/>
      <c r="C28" s="114"/>
      <c r="D28" s="115"/>
    </row>
    <row r="29" spans="1:4" s="3" customFormat="1" ht="65.25" customHeight="1" outlineLevel="1">
      <c r="A29" s="77" t="s">
        <v>34</v>
      </c>
      <c r="B29" s="53"/>
      <c r="C29" s="54"/>
      <c r="D29" s="10"/>
    </row>
    <row r="30" spans="1:4" s="3" customFormat="1" ht="65.25" customHeight="1" outlineLevel="1">
      <c r="A30" s="77" t="s">
        <v>35</v>
      </c>
      <c r="B30" s="53"/>
      <c r="C30" s="54"/>
      <c r="D30" s="10"/>
    </row>
    <row r="31" spans="1:4" s="3" customFormat="1" ht="65.25" customHeight="1" outlineLevel="1">
      <c r="A31" s="77" t="s">
        <v>36</v>
      </c>
      <c r="B31" s="53"/>
      <c r="C31" s="54"/>
      <c r="D31" s="10"/>
    </row>
    <row r="32" spans="1:4" s="3" customFormat="1" ht="65.25" customHeight="1" outlineLevel="1">
      <c r="A32" s="77" t="s">
        <v>37</v>
      </c>
      <c r="B32" s="113"/>
      <c r="C32" s="114"/>
      <c r="D32" s="115"/>
    </row>
  </sheetData>
  <mergeCells count="11">
    <mergeCell ref="B26:D26"/>
    <mergeCell ref="B11:D11"/>
    <mergeCell ref="B27:D27"/>
    <mergeCell ref="B32:D32"/>
    <mergeCell ref="B28:D28"/>
    <mergeCell ref="B24:D24"/>
    <mergeCell ref="A1:D1"/>
    <mergeCell ref="B2:D2"/>
    <mergeCell ref="B10:D10"/>
    <mergeCell ref="B9:D9"/>
    <mergeCell ref="B23:D23"/>
  </mergeCells>
  <pageMargins left="0.25" right="0.25" top="0.75" bottom="0.75" header="0.3" footer="0.3"/>
  <pageSetup paperSize="9" scale="52" fitToHeight="0" orientation="portrait" r:id="rId1"/>
  <headerFooter>
    <oddFooter>&amp;RPage &amp;P of &amp;N
&amp;A
&amp;F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4B56-AE74-4A7D-93C3-C92E2126C4BC}">
  <sheetPr>
    <tabColor rgb="FF0D496B"/>
  </sheetPr>
  <dimension ref="A1:D102"/>
  <sheetViews>
    <sheetView zoomScaleNormal="100" workbookViewId="0"/>
  </sheetViews>
  <sheetFormatPr defaultRowHeight="15"/>
  <cols>
    <col min="1" max="1" width="4.7109375" style="55" customWidth="1"/>
    <col min="2" max="2" width="44.42578125" style="55" customWidth="1"/>
    <col min="3" max="3" width="55.7109375" style="55" customWidth="1"/>
    <col min="4" max="4" width="56.28515625" style="56" customWidth="1"/>
    <col min="5" max="16384" width="9.140625" style="55"/>
  </cols>
  <sheetData>
    <row r="1" spans="1:4" s="73" customFormat="1" ht="42" customHeight="1" thickBot="1">
      <c r="A1" s="88"/>
      <c r="B1" s="87" t="s">
        <v>38</v>
      </c>
      <c r="C1" s="87" t="s">
        <v>39</v>
      </c>
      <c r="D1" s="86" t="s">
        <v>40</v>
      </c>
    </row>
    <row r="2" spans="1:4" ht="32.1" customHeight="1" thickBot="1">
      <c r="A2" s="74"/>
      <c r="B2" s="58" t="s">
        <v>41</v>
      </c>
      <c r="C2" s="75"/>
      <c r="D2" s="75"/>
    </row>
    <row r="3" spans="1:4" ht="15.75" thickBot="1">
      <c r="A3" s="60"/>
      <c r="B3" s="61" t="s">
        <v>10</v>
      </c>
      <c r="C3" s="62"/>
      <c r="D3" s="63"/>
    </row>
    <row r="4" spans="1:4" ht="15.75" thickBot="1">
      <c r="A4" s="60"/>
      <c r="B4" s="61" t="s">
        <v>11</v>
      </c>
      <c r="C4" s="62"/>
      <c r="D4" s="63"/>
    </row>
    <row r="5" spans="1:4" ht="15.75" thickBot="1">
      <c r="A5" s="64"/>
      <c r="B5" s="61" t="s">
        <v>42</v>
      </c>
      <c r="C5" s="62"/>
      <c r="D5" s="63"/>
    </row>
    <row r="6" spans="1:4" s="67" customFormat="1" ht="15.75" thickBot="1">
      <c r="A6" s="64"/>
      <c r="B6" s="61" t="s">
        <v>43</v>
      </c>
      <c r="C6" s="65"/>
      <c r="D6" s="66"/>
    </row>
    <row r="7" spans="1:4" s="67" customFormat="1" ht="15.75" thickBot="1">
      <c r="A7" s="64"/>
      <c r="B7" s="61" t="s">
        <v>44</v>
      </c>
      <c r="C7" s="68"/>
      <c r="D7" s="66"/>
    </row>
    <row r="8" spans="1:4" s="67" customFormat="1" ht="15.75" thickBot="1">
      <c r="A8" s="64"/>
      <c r="B8" s="61" t="s">
        <v>45</v>
      </c>
      <c r="C8" s="68"/>
      <c r="D8" s="66"/>
    </row>
    <row r="9" spans="1:4" s="67" customFormat="1" ht="15.75" thickBot="1">
      <c r="A9" s="64"/>
      <c r="B9" s="61" t="s">
        <v>46</v>
      </c>
      <c r="C9" s="68"/>
      <c r="D9" s="66"/>
    </row>
    <row r="10" spans="1:4" s="67" customFormat="1" ht="15.75" thickBot="1">
      <c r="A10" s="64"/>
      <c r="B10" s="61" t="s">
        <v>47</v>
      </c>
      <c r="C10" s="68"/>
      <c r="D10" s="66"/>
    </row>
    <row r="11" spans="1:4" s="67" customFormat="1" ht="15.75" thickBot="1">
      <c r="A11" s="64"/>
      <c r="B11" s="69"/>
      <c r="C11" s="68"/>
      <c r="D11" s="66"/>
    </row>
    <row r="12" spans="1:4" s="67" customFormat="1" ht="15.75" thickBot="1">
      <c r="A12" s="64"/>
      <c r="B12" s="69"/>
      <c r="C12" s="65"/>
      <c r="D12" s="66"/>
    </row>
    <row r="13" spans="1:4" s="67" customFormat="1" ht="32.1" customHeight="1" thickBot="1">
      <c r="A13" s="57"/>
      <c r="B13" s="58" t="s">
        <v>48</v>
      </c>
      <c r="C13" s="59"/>
      <c r="D13" s="59"/>
    </row>
    <row r="14" spans="1:4" s="67" customFormat="1" ht="15.75" thickBot="1">
      <c r="A14" s="64"/>
      <c r="B14" s="61" t="s">
        <v>49</v>
      </c>
      <c r="C14" s="66"/>
      <c r="D14" s="66"/>
    </row>
    <row r="15" spans="1:4" s="67" customFormat="1" ht="15.75" thickBot="1">
      <c r="A15" s="64"/>
      <c r="B15" s="61" t="s">
        <v>50</v>
      </c>
      <c r="C15" s="70"/>
      <c r="D15" s="66"/>
    </row>
    <row r="16" spans="1:4" s="67" customFormat="1" ht="15.75" thickBot="1">
      <c r="A16" s="64"/>
      <c r="B16" s="61" t="s">
        <v>51</v>
      </c>
      <c r="C16" s="70"/>
      <c r="D16" s="66"/>
    </row>
    <row r="17" spans="1:4" s="67" customFormat="1" ht="15.75" thickBot="1">
      <c r="A17" s="64"/>
      <c r="B17" s="61" t="s">
        <v>52</v>
      </c>
      <c r="C17" s="70"/>
      <c r="D17" s="66"/>
    </row>
    <row r="18" spans="1:4" s="67" customFormat="1" ht="15.75" thickBot="1">
      <c r="A18" s="64"/>
      <c r="B18" s="61" t="s">
        <v>53</v>
      </c>
      <c r="C18" s="70"/>
      <c r="D18" s="66"/>
    </row>
    <row r="19" spans="1:4" s="67" customFormat="1" ht="15.75" thickBot="1">
      <c r="A19" s="64"/>
      <c r="B19" s="61" t="s">
        <v>54</v>
      </c>
      <c r="C19" s="70"/>
      <c r="D19" s="66"/>
    </row>
    <row r="20" spans="1:4" s="67" customFormat="1" ht="15.75" thickBot="1">
      <c r="A20" s="64"/>
      <c r="B20" s="61" t="s">
        <v>55</v>
      </c>
      <c r="C20" s="70"/>
      <c r="D20" s="66"/>
    </row>
    <row r="21" spans="1:4" s="67" customFormat="1" ht="15.75" thickBot="1">
      <c r="A21" s="64"/>
      <c r="B21" s="61" t="s">
        <v>56</v>
      </c>
      <c r="C21" s="70"/>
      <c r="D21" s="66"/>
    </row>
    <row r="22" spans="1:4" s="67" customFormat="1" ht="15.75" thickBot="1">
      <c r="A22" s="64"/>
      <c r="B22" s="61" t="s">
        <v>57</v>
      </c>
      <c r="C22" s="70"/>
      <c r="D22" s="66"/>
    </row>
    <row r="23" spans="1:4" s="67" customFormat="1" ht="15.75" thickBot="1">
      <c r="A23" s="64"/>
      <c r="B23" s="61" t="s">
        <v>58</v>
      </c>
      <c r="C23" s="70"/>
      <c r="D23" s="66"/>
    </row>
    <row r="24" spans="1:4" s="67" customFormat="1" ht="15.75" thickBot="1">
      <c r="A24" s="64"/>
      <c r="B24" s="61" t="s">
        <v>59</v>
      </c>
      <c r="C24" s="70"/>
      <c r="D24" s="66"/>
    </row>
    <row r="25" spans="1:4" s="67" customFormat="1" ht="15.75" thickBot="1">
      <c r="A25" s="64"/>
      <c r="B25" s="61" t="s">
        <v>60</v>
      </c>
      <c r="C25" s="70"/>
      <c r="D25" s="66"/>
    </row>
    <row r="26" spans="1:4" s="67" customFormat="1" ht="15.75" thickBot="1">
      <c r="A26" s="64"/>
      <c r="B26" s="61" t="s">
        <v>61</v>
      </c>
      <c r="C26" s="70"/>
      <c r="D26" s="66"/>
    </row>
    <row r="27" spans="1:4" s="67" customFormat="1" ht="15.75" thickBot="1">
      <c r="A27" s="64"/>
      <c r="B27" s="65" t="s">
        <v>62</v>
      </c>
      <c r="C27" s="65"/>
      <c r="D27" s="66"/>
    </row>
    <row r="28" spans="1:4" s="67" customFormat="1" ht="15.75" thickBot="1">
      <c r="A28" s="64"/>
      <c r="B28" s="61" t="s">
        <v>63</v>
      </c>
      <c r="C28" s="65"/>
      <c r="D28" s="66"/>
    </row>
    <row r="29" spans="1:4" s="67" customFormat="1" ht="15.75" thickBot="1">
      <c r="A29" s="60"/>
      <c r="B29" s="61" t="s">
        <v>64</v>
      </c>
      <c r="C29" s="70"/>
      <c r="D29" s="71"/>
    </row>
    <row r="30" spans="1:4" s="67" customFormat="1" ht="15.75" thickBot="1">
      <c r="A30" s="64"/>
      <c r="B30" s="61" t="s">
        <v>65</v>
      </c>
      <c r="C30" s="70"/>
      <c r="D30" s="71"/>
    </row>
    <row r="31" spans="1:4" s="67" customFormat="1" ht="15.75" thickBot="1">
      <c r="A31" s="64"/>
      <c r="B31" s="72" t="s">
        <v>66</v>
      </c>
      <c r="C31" s="70"/>
      <c r="D31" s="71"/>
    </row>
    <row r="32" spans="1:4" s="67" customFormat="1" ht="15.75" thickBot="1">
      <c r="A32" s="64"/>
      <c r="B32" s="72" t="s">
        <v>67</v>
      </c>
      <c r="C32" s="70"/>
      <c r="D32" s="71" t="s">
        <v>68</v>
      </c>
    </row>
    <row r="33" spans="1:4" s="67" customFormat="1" ht="15.75" thickBot="1">
      <c r="A33" s="64"/>
      <c r="B33" s="72" t="s">
        <v>69</v>
      </c>
      <c r="C33" s="70"/>
      <c r="D33" s="71"/>
    </row>
    <row r="34" spans="1:4" s="67" customFormat="1" ht="15.75" thickBot="1">
      <c r="A34" s="64"/>
      <c r="B34" s="72" t="s">
        <v>70</v>
      </c>
      <c r="C34" s="70"/>
      <c r="D34" s="71"/>
    </row>
    <row r="35" spans="1:4" s="67" customFormat="1" ht="15.75" thickBot="1">
      <c r="A35" s="64"/>
      <c r="B35" s="72" t="s">
        <v>71</v>
      </c>
      <c r="C35" s="70"/>
      <c r="D35" s="71"/>
    </row>
    <row r="36" spans="1:4" s="67" customFormat="1" ht="15.75" thickBot="1">
      <c r="A36" s="64"/>
      <c r="B36" s="72" t="s">
        <v>72</v>
      </c>
      <c r="C36" s="70"/>
      <c r="D36" s="71"/>
    </row>
    <row r="37" spans="1:4" s="67" customFormat="1" ht="15.75" thickBot="1">
      <c r="A37" s="64"/>
      <c r="B37" s="72" t="s">
        <v>73</v>
      </c>
      <c r="C37" s="70"/>
      <c r="D37" s="71"/>
    </row>
    <row r="38" spans="1:4" s="67" customFormat="1" ht="15.75" thickBot="1">
      <c r="A38" s="64"/>
      <c r="B38" s="72" t="s">
        <v>74</v>
      </c>
      <c r="C38" s="70"/>
      <c r="D38" s="71"/>
    </row>
    <row r="39" spans="1:4" s="67" customFormat="1" ht="15.75" thickBot="1">
      <c r="A39" s="64"/>
      <c r="B39" s="72" t="s">
        <v>75</v>
      </c>
      <c r="C39" s="70"/>
      <c r="D39" s="71"/>
    </row>
    <row r="40" spans="1:4" s="67" customFormat="1" ht="15.75" thickBot="1">
      <c r="A40" s="64"/>
      <c r="B40" s="72" t="s">
        <v>76</v>
      </c>
      <c r="C40" s="70"/>
      <c r="D40" s="71"/>
    </row>
    <row r="41" spans="1:4" s="67" customFormat="1" ht="15.75" thickBot="1">
      <c r="A41" s="64"/>
      <c r="B41" s="72" t="s">
        <v>77</v>
      </c>
      <c r="C41" s="70"/>
      <c r="D41" s="71"/>
    </row>
    <row r="42" spans="1:4" s="67" customFormat="1" ht="15.75" thickBot="1">
      <c r="A42" s="64"/>
      <c r="B42" s="69"/>
      <c r="C42" s="70"/>
      <c r="D42" s="71"/>
    </row>
    <row r="43" spans="1:4" s="67" customFormat="1" ht="15.75" thickBot="1">
      <c r="A43" s="64"/>
      <c r="B43" s="69"/>
      <c r="C43" s="69"/>
      <c r="D43" s="71"/>
    </row>
    <row r="44" spans="1:4" s="67" customFormat="1" ht="32.1" customHeight="1" thickBot="1">
      <c r="A44" s="57"/>
      <c r="B44" s="58" t="s">
        <v>78</v>
      </c>
      <c r="C44" s="59"/>
      <c r="D44" s="59"/>
    </row>
    <row r="45" spans="1:4" s="67" customFormat="1" ht="15.75" thickBot="1">
      <c r="A45" s="64"/>
      <c r="B45" s="61" t="s">
        <v>79</v>
      </c>
      <c r="C45" s="69"/>
      <c r="D45" s="66"/>
    </row>
    <row r="46" spans="1:4" s="67" customFormat="1" ht="30.75" thickBot="1">
      <c r="A46" s="64"/>
      <c r="B46" s="61" t="s">
        <v>80</v>
      </c>
      <c r="C46" s="70"/>
      <c r="D46" s="66"/>
    </row>
    <row r="47" spans="1:4" s="67" customFormat="1" ht="30.75" thickBot="1">
      <c r="A47" s="64"/>
      <c r="B47" s="61" t="s">
        <v>81</v>
      </c>
      <c r="C47" s="70"/>
      <c r="D47" s="66"/>
    </row>
    <row r="48" spans="1:4" s="67" customFormat="1" ht="30.75" thickBot="1">
      <c r="A48" s="64"/>
      <c r="B48" s="61" t="s">
        <v>82</v>
      </c>
      <c r="C48" s="70"/>
      <c r="D48" s="66"/>
    </row>
    <row r="49" spans="1:4" s="67" customFormat="1" ht="15.75" thickBot="1">
      <c r="A49" s="64"/>
      <c r="B49" s="61" t="s">
        <v>83</v>
      </c>
      <c r="C49" s="70"/>
      <c r="D49" s="66"/>
    </row>
    <row r="50" spans="1:4" s="67" customFormat="1" ht="15.75" thickBot="1">
      <c r="A50" s="64"/>
      <c r="B50" s="61" t="s">
        <v>84</v>
      </c>
      <c r="C50" s="65"/>
      <c r="D50" s="66"/>
    </row>
    <row r="51" spans="1:4" s="67" customFormat="1" ht="30.75" thickBot="1">
      <c r="A51" s="64"/>
      <c r="B51" s="61" t="s">
        <v>85</v>
      </c>
      <c r="C51" s="70"/>
      <c r="D51" s="66"/>
    </row>
    <row r="52" spans="1:4" s="67" customFormat="1" ht="30.75" thickBot="1">
      <c r="A52" s="64"/>
      <c r="B52" s="61" t="s">
        <v>86</v>
      </c>
      <c r="C52" s="70"/>
      <c r="D52" s="66"/>
    </row>
    <row r="53" spans="1:4" s="67" customFormat="1" ht="30.75" thickBot="1">
      <c r="A53" s="64"/>
      <c r="B53" s="61" t="s">
        <v>87</v>
      </c>
      <c r="C53" s="70"/>
      <c r="D53" s="66"/>
    </row>
    <row r="54" spans="1:4" s="67" customFormat="1" ht="30.75" thickBot="1">
      <c r="A54" s="64"/>
      <c r="B54" s="61" t="s">
        <v>88</v>
      </c>
      <c r="C54" s="70"/>
      <c r="D54" s="66"/>
    </row>
    <row r="55" spans="1:4" s="67" customFormat="1" ht="15.75" thickBot="1">
      <c r="A55" s="64"/>
      <c r="B55" s="61" t="s">
        <v>89</v>
      </c>
      <c r="C55" s="70"/>
      <c r="D55" s="66"/>
    </row>
    <row r="56" spans="1:4" s="67" customFormat="1" ht="15.75" thickBot="1">
      <c r="A56" s="64"/>
      <c r="B56" s="61" t="s">
        <v>90</v>
      </c>
      <c r="C56" s="70"/>
      <c r="D56" s="66"/>
    </row>
    <row r="57" spans="1:4" s="67" customFormat="1" ht="15.75" thickBot="1">
      <c r="A57" s="64"/>
      <c r="B57" s="69"/>
      <c r="C57" s="70"/>
      <c r="D57" s="66"/>
    </row>
    <row r="58" spans="1:4" s="67" customFormat="1" ht="15.75" thickBot="1">
      <c r="A58" s="64"/>
      <c r="B58" s="69"/>
      <c r="C58" s="70"/>
      <c r="D58" s="66"/>
    </row>
    <row r="59" spans="1:4" s="67" customFormat="1" ht="32.1" customHeight="1" thickBot="1">
      <c r="A59" s="57"/>
      <c r="B59" s="58" t="s">
        <v>91</v>
      </c>
      <c r="C59" s="59"/>
      <c r="D59" s="59"/>
    </row>
    <row r="60" spans="1:4" s="67" customFormat="1" ht="45.75" thickBot="1">
      <c r="A60" s="64"/>
      <c r="B60" s="61" t="s">
        <v>92</v>
      </c>
      <c r="C60" s="70"/>
      <c r="D60" s="66" t="s">
        <v>93</v>
      </c>
    </row>
    <row r="61" spans="1:4" s="67" customFormat="1" ht="30.75" thickBot="1">
      <c r="A61" s="64"/>
      <c r="B61" s="61" t="s">
        <v>94</v>
      </c>
      <c r="C61" s="70"/>
      <c r="D61" s="66" t="s">
        <v>93</v>
      </c>
    </row>
    <row r="62" spans="1:4" s="67" customFormat="1" ht="15.75" thickBot="1">
      <c r="A62" s="64"/>
      <c r="B62" s="61" t="s">
        <v>95</v>
      </c>
      <c r="C62" s="70"/>
      <c r="D62" s="66" t="s">
        <v>93</v>
      </c>
    </row>
    <row r="63" spans="1:4" s="67" customFormat="1" ht="30.75" thickBot="1">
      <c r="A63" s="64"/>
      <c r="B63" s="61" t="s">
        <v>96</v>
      </c>
      <c r="C63" s="70"/>
      <c r="D63" s="66" t="s">
        <v>93</v>
      </c>
    </row>
    <row r="64" spans="1:4" s="67" customFormat="1" ht="15.75" thickBot="1">
      <c r="A64" s="64"/>
      <c r="B64" s="61" t="s">
        <v>97</v>
      </c>
      <c r="C64" s="70"/>
      <c r="D64" s="66"/>
    </row>
    <row r="65" spans="1:4" s="67" customFormat="1" ht="30.75" thickBot="1">
      <c r="A65" s="64"/>
      <c r="B65" s="61" t="s">
        <v>98</v>
      </c>
      <c r="C65" s="70"/>
      <c r="D65" s="66"/>
    </row>
    <row r="66" spans="1:4" s="67" customFormat="1" ht="15.75" thickBot="1">
      <c r="A66" s="64"/>
      <c r="B66" s="61" t="s">
        <v>99</v>
      </c>
      <c r="C66" s="70"/>
      <c r="D66" s="66"/>
    </row>
    <row r="67" spans="1:4" s="67" customFormat="1" ht="30.75" thickBot="1">
      <c r="A67" s="64"/>
      <c r="B67" s="61" t="s">
        <v>100</v>
      </c>
      <c r="C67" s="70"/>
      <c r="D67" s="66"/>
    </row>
    <row r="68" spans="1:4" s="67" customFormat="1" ht="30.75" thickBot="1">
      <c r="A68" s="64"/>
      <c r="B68" s="61" t="s">
        <v>101</v>
      </c>
      <c r="C68" s="70"/>
      <c r="D68" s="66"/>
    </row>
    <row r="69" spans="1:4" s="67" customFormat="1" ht="30.75" thickBot="1">
      <c r="A69" s="64"/>
      <c r="B69" s="61" t="s">
        <v>102</v>
      </c>
      <c r="C69" s="70"/>
      <c r="D69" s="66"/>
    </row>
    <row r="70" spans="1:4" s="67" customFormat="1" ht="30.75" thickBot="1">
      <c r="A70" s="64"/>
      <c r="B70" s="61" t="s">
        <v>103</v>
      </c>
      <c r="C70" s="70"/>
      <c r="D70" s="66"/>
    </row>
    <row r="71" spans="1:4" s="67" customFormat="1" ht="30.75" thickBot="1">
      <c r="A71" s="64"/>
      <c r="B71" s="61" t="s">
        <v>104</v>
      </c>
      <c r="C71" s="70"/>
      <c r="D71" s="66"/>
    </row>
    <row r="72" spans="1:4" s="67" customFormat="1" ht="15.75" thickBot="1">
      <c r="A72" s="64"/>
      <c r="B72" s="61" t="s">
        <v>105</v>
      </c>
      <c r="C72" s="70"/>
      <c r="D72" s="66"/>
    </row>
    <row r="73" spans="1:4" s="67" customFormat="1" ht="30.75" thickBot="1">
      <c r="A73" s="64"/>
      <c r="B73" s="61" t="s">
        <v>106</v>
      </c>
      <c r="C73" s="70"/>
      <c r="D73" s="66"/>
    </row>
    <row r="74" spans="1:4" s="67" customFormat="1" ht="15.75" thickBot="1">
      <c r="A74" s="64"/>
      <c r="B74" s="61" t="s">
        <v>107</v>
      </c>
      <c r="C74" s="70"/>
      <c r="D74" s="66"/>
    </row>
    <row r="75" spans="1:4" s="67" customFormat="1" ht="15.75" thickBot="1">
      <c r="A75" s="64"/>
      <c r="B75" s="61" t="s">
        <v>108</v>
      </c>
      <c r="C75" s="70"/>
      <c r="D75" s="66"/>
    </row>
    <row r="76" spans="1:4" s="67" customFormat="1" ht="15.75" thickBot="1">
      <c r="A76" s="64"/>
      <c r="B76" s="61" t="s">
        <v>109</v>
      </c>
      <c r="C76" s="70"/>
      <c r="D76" s="66"/>
    </row>
    <row r="77" spans="1:4" s="67" customFormat="1" ht="30.75" thickBot="1">
      <c r="A77" s="64"/>
      <c r="B77" s="61" t="s">
        <v>110</v>
      </c>
      <c r="C77" s="70"/>
      <c r="D77" s="66"/>
    </row>
    <row r="78" spans="1:4" s="67" customFormat="1" ht="30.75" thickBot="1">
      <c r="A78" s="64"/>
      <c r="B78" s="61" t="s">
        <v>111</v>
      </c>
      <c r="C78" s="70"/>
      <c r="D78" s="66"/>
    </row>
    <row r="79" spans="1:4" s="67" customFormat="1" ht="30.75" thickBot="1">
      <c r="A79" s="64"/>
      <c r="B79" s="61" t="s">
        <v>112</v>
      </c>
      <c r="C79" s="70"/>
      <c r="D79" s="66"/>
    </row>
    <row r="80" spans="1:4" s="67" customFormat="1" ht="15.75" thickBot="1">
      <c r="A80" s="64"/>
      <c r="B80" s="61" t="s">
        <v>113</v>
      </c>
      <c r="C80" s="70"/>
      <c r="D80" s="66"/>
    </row>
    <row r="81" spans="1:4" s="67" customFormat="1" ht="30.75" thickBot="1">
      <c r="A81" s="64"/>
      <c r="B81" s="61" t="s">
        <v>114</v>
      </c>
      <c r="C81" s="70"/>
      <c r="D81" s="66"/>
    </row>
    <row r="82" spans="1:4" s="67" customFormat="1" ht="15.75" thickBot="1">
      <c r="A82" s="64"/>
      <c r="B82" s="69"/>
      <c r="C82" s="70"/>
      <c r="D82" s="66"/>
    </row>
    <row r="83" spans="1:4" s="67" customFormat="1" ht="32.1" customHeight="1" thickBot="1">
      <c r="A83" s="57"/>
      <c r="B83" s="58" t="s">
        <v>115</v>
      </c>
      <c r="C83" s="59"/>
      <c r="D83" s="59"/>
    </row>
    <row r="84" spans="1:4" s="67" customFormat="1" ht="15.75" thickBot="1">
      <c r="A84" s="64"/>
      <c r="B84" s="99" t="s">
        <v>116</v>
      </c>
      <c r="C84" s="70"/>
      <c r="D84" s="66"/>
    </row>
    <row r="85" spans="1:4" s="67" customFormat="1" ht="30.75" thickBot="1">
      <c r="A85" s="64"/>
      <c r="B85" s="97" t="s">
        <v>117</v>
      </c>
      <c r="C85" s="70"/>
      <c r="D85" s="66"/>
    </row>
    <row r="86" spans="1:4" s="67" customFormat="1" ht="15.75" thickBot="1">
      <c r="A86" s="64"/>
      <c r="B86" s="97" t="s">
        <v>118</v>
      </c>
      <c r="C86" s="70"/>
      <c r="D86" s="66"/>
    </row>
    <row r="87" spans="1:4" s="67" customFormat="1" ht="15.75" thickBot="1">
      <c r="A87" s="64"/>
      <c r="B87" s="97" t="s">
        <v>119</v>
      </c>
      <c r="C87" s="70"/>
      <c r="D87" s="66"/>
    </row>
    <row r="88" spans="1:4" s="67" customFormat="1" ht="15.75" thickBot="1">
      <c r="A88" s="64"/>
      <c r="B88" s="97" t="s">
        <v>120</v>
      </c>
      <c r="C88" s="70"/>
      <c r="D88" s="66"/>
    </row>
    <row r="89" spans="1:4" s="67" customFormat="1" ht="15.75" thickBot="1">
      <c r="A89" s="64"/>
      <c r="B89" s="97" t="s">
        <v>121</v>
      </c>
      <c r="C89" s="70"/>
      <c r="D89" s="66"/>
    </row>
    <row r="90" spans="1:4" s="67" customFormat="1" ht="15.75" thickBot="1">
      <c r="A90" s="64"/>
      <c r="B90" s="97" t="s">
        <v>122</v>
      </c>
      <c r="C90" s="70"/>
      <c r="D90" s="66"/>
    </row>
    <row r="91" spans="1:4" s="67" customFormat="1" ht="15.75" thickBot="1">
      <c r="A91" s="64"/>
      <c r="B91" s="97" t="s">
        <v>123</v>
      </c>
      <c r="C91" s="70"/>
      <c r="D91" s="66"/>
    </row>
    <row r="92" spans="1:4" s="67" customFormat="1" ht="30.75" thickBot="1">
      <c r="A92" s="64"/>
      <c r="B92" s="97" t="s">
        <v>124</v>
      </c>
      <c r="C92" s="70"/>
      <c r="D92" s="66"/>
    </row>
    <row r="93" spans="1:4" s="67" customFormat="1" ht="30.75" thickBot="1">
      <c r="A93" s="64"/>
      <c r="B93" s="97" t="s">
        <v>125</v>
      </c>
      <c r="C93" s="70"/>
      <c r="D93" s="66"/>
    </row>
    <row r="94" spans="1:4" s="67" customFormat="1" ht="15.75" thickBot="1">
      <c r="A94" s="64"/>
      <c r="B94" s="99" t="s">
        <v>126</v>
      </c>
      <c r="C94" s="70"/>
      <c r="D94" s="66"/>
    </row>
    <row r="95" spans="1:4" s="67" customFormat="1" ht="30.75" thickBot="1">
      <c r="A95" s="64"/>
      <c r="B95" s="100" t="s">
        <v>127</v>
      </c>
      <c r="C95" s="70"/>
      <c r="D95" s="66"/>
    </row>
    <row r="96" spans="1:4" s="67" customFormat="1" ht="30.75" thickBot="1">
      <c r="A96" s="64"/>
      <c r="B96" s="100" t="s">
        <v>128</v>
      </c>
      <c r="C96" s="70"/>
      <c r="D96" s="66"/>
    </row>
    <row r="97" spans="1:4" s="67" customFormat="1" ht="15.75" thickBot="1">
      <c r="A97" s="64"/>
      <c r="B97" s="100" t="s">
        <v>129</v>
      </c>
      <c r="C97" s="70"/>
      <c r="D97" s="66"/>
    </row>
    <row r="98" spans="1:4" s="67" customFormat="1" ht="15.75" thickBot="1">
      <c r="A98" s="64"/>
      <c r="B98" s="100" t="s">
        <v>130</v>
      </c>
      <c r="C98" s="70"/>
      <c r="D98" s="66"/>
    </row>
    <row r="99" spans="1:4" s="67" customFormat="1" ht="15.75" thickBot="1">
      <c r="A99" s="64"/>
      <c r="B99" s="98" t="s">
        <v>131</v>
      </c>
      <c r="C99" s="70"/>
      <c r="D99" s="66"/>
    </row>
    <row r="100" spans="1:4" s="67" customFormat="1" ht="15.75" thickBot="1">
      <c r="A100" s="64"/>
      <c r="B100" s="99"/>
      <c r="C100" s="70"/>
      <c r="D100" s="66"/>
    </row>
    <row r="101" spans="1:4" s="67" customFormat="1" ht="15.75" thickBot="1">
      <c r="A101" s="64"/>
      <c r="B101" s="69"/>
      <c r="C101" s="70"/>
      <c r="D101" s="66"/>
    </row>
    <row r="102" spans="1:4" ht="32.1" customHeight="1" thickBot="1">
      <c r="A102" s="116" t="s">
        <v>132</v>
      </c>
      <c r="B102" s="117"/>
      <c r="C102" s="117"/>
      <c r="D102" s="117"/>
    </row>
  </sheetData>
  <mergeCells count="1">
    <mergeCell ref="A102:D10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D5F8-7E7D-4906-A0A8-618AA0C0FBA9}">
  <sheetPr codeName="Sheet2">
    <tabColor rgb="FF0D496B"/>
  </sheetPr>
  <dimension ref="A1:D32"/>
  <sheetViews>
    <sheetView zoomScaleNormal="100" workbookViewId="0">
      <selection sqref="A1:A2"/>
    </sheetView>
  </sheetViews>
  <sheetFormatPr defaultRowHeight="15"/>
  <cols>
    <col min="1" max="1" width="11" style="78" customWidth="1"/>
    <col min="2" max="2" width="85.5703125" style="78" customWidth="1"/>
    <col min="3" max="3" width="82.28515625" style="79" customWidth="1"/>
    <col min="4" max="4" width="11.85546875" style="80" customWidth="1"/>
    <col min="5" max="16384" width="9.140625" style="78"/>
  </cols>
  <sheetData>
    <row r="1" spans="1:4" ht="42" customHeight="1">
      <c r="A1" s="118"/>
      <c r="B1" s="120" t="s">
        <v>133</v>
      </c>
      <c r="C1" s="122" t="s">
        <v>134</v>
      </c>
      <c r="D1" s="124" t="s">
        <v>135</v>
      </c>
    </row>
    <row r="2" spans="1:4" ht="15.75" thickBot="1">
      <c r="A2" s="119"/>
      <c r="B2" s="121"/>
      <c r="C2" s="123"/>
      <c r="D2" s="125"/>
    </row>
    <row r="3" spans="1:4" ht="34.5" customHeight="1" thickBot="1">
      <c r="A3" s="84" t="s">
        <v>136</v>
      </c>
      <c r="B3" s="101"/>
      <c r="C3" s="102"/>
      <c r="D3" s="85" t="s">
        <v>137</v>
      </c>
    </row>
    <row r="4" spans="1:4" ht="30.75" thickBot="1">
      <c r="A4" s="81"/>
      <c r="B4" s="126" t="s">
        <v>138</v>
      </c>
      <c r="C4" s="127"/>
      <c r="D4" s="128"/>
    </row>
    <row r="5" spans="1:4" ht="30.75" thickBot="1">
      <c r="A5" s="81"/>
      <c r="B5" s="126" t="s">
        <v>139</v>
      </c>
      <c r="C5" s="127"/>
      <c r="D5" s="128"/>
    </row>
    <row r="6" spans="1:4" ht="15.75" thickBot="1">
      <c r="A6" s="81"/>
      <c r="B6" s="126" t="s">
        <v>140</v>
      </c>
      <c r="C6" s="127"/>
      <c r="D6" s="128"/>
    </row>
    <row r="7" spans="1:4" ht="45.75" thickBot="1">
      <c r="A7" s="81"/>
      <c r="B7" s="126" t="s">
        <v>141</v>
      </c>
      <c r="C7" s="127"/>
      <c r="D7" s="128"/>
    </row>
    <row r="8" spans="1:4" ht="15.75" thickBot="1">
      <c r="A8" s="129"/>
      <c r="B8" s="126" t="s">
        <v>142</v>
      </c>
      <c r="C8" s="127"/>
      <c r="D8" s="128"/>
    </row>
    <row r="9" spans="1:4" s="83" customFormat="1" ht="15.75" thickBot="1">
      <c r="A9" s="129"/>
      <c r="B9" s="130" t="s">
        <v>143</v>
      </c>
      <c r="C9" s="131"/>
      <c r="D9" s="128"/>
    </row>
    <row r="10" spans="1:4" s="83" customFormat="1" ht="15.75" thickBot="1">
      <c r="A10" s="129"/>
      <c r="B10" s="126" t="s">
        <v>144</v>
      </c>
      <c r="C10" s="131"/>
      <c r="D10" s="128"/>
    </row>
    <row r="11" spans="1:4" s="83" customFormat="1" ht="15.75" thickBot="1">
      <c r="A11" s="129"/>
      <c r="B11" s="126"/>
      <c r="C11" s="131"/>
      <c r="D11" s="128"/>
    </row>
    <row r="12" spans="1:4" ht="34.5" customHeight="1" thickBot="1">
      <c r="A12" s="84" t="s">
        <v>145</v>
      </c>
      <c r="B12" s="101"/>
      <c r="C12" s="102"/>
      <c r="D12" s="85"/>
    </row>
    <row r="13" spans="1:4" s="83" customFormat="1" ht="15.75" thickBot="1">
      <c r="A13" s="81"/>
      <c r="B13" s="126" t="s">
        <v>146</v>
      </c>
      <c r="C13" s="131"/>
      <c r="D13" s="126"/>
    </row>
    <row r="14" spans="1:4" s="83" customFormat="1" ht="15.75" thickBot="1">
      <c r="A14" s="81"/>
      <c r="B14" s="126" t="s">
        <v>147</v>
      </c>
      <c r="C14" s="131"/>
      <c r="D14" s="126"/>
    </row>
    <row r="15" spans="1:4" s="83" customFormat="1" ht="30.75" thickBot="1">
      <c r="A15" s="129"/>
      <c r="B15" s="126" t="s">
        <v>148</v>
      </c>
      <c r="C15" s="131"/>
      <c r="D15" s="126"/>
    </row>
    <row r="16" spans="1:4" s="83" customFormat="1" ht="30.75" thickBot="1">
      <c r="A16" s="129"/>
      <c r="B16" s="126" t="s">
        <v>149</v>
      </c>
      <c r="C16" s="131"/>
      <c r="D16" s="126"/>
    </row>
    <row r="17" spans="1:4" s="83" customFormat="1" ht="30.75" thickBot="1">
      <c r="A17" s="129"/>
      <c r="B17" s="126" t="s">
        <v>150</v>
      </c>
      <c r="C17" s="131"/>
      <c r="D17" s="126"/>
    </row>
    <row r="18" spans="1:4" s="83" customFormat="1" ht="30.75" thickBot="1">
      <c r="A18" s="129"/>
      <c r="B18" s="126" t="s">
        <v>151</v>
      </c>
      <c r="C18" s="131"/>
      <c r="D18" s="126"/>
    </row>
    <row r="19" spans="1:4" ht="34.5" customHeight="1" thickBot="1">
      <c r="A19" s="84" t="s">
        <v>152</v>
      </c>
      <c r="B19" s="101"/>
      <c r="C19" s="102"/>
      <c r="D19" s="85"/>
    </row>
    <row r="20" spans="1:4" s="83" customFormat="1" ht="15.75" thickBot="1">
      <c r="A20" s="129"/>
      <c r="B20" s="126" t="s">
        <v>153</v>
      </c>
      <c r="C20" s="131"/>
      <c r="D20" s="126"/>
    </row>
    <row r="21" spans="1:4" s="83" customFormat="1" ht="30.75" thickBot="1">
      <c r="A21" s="129"/>
      <c r="B21" s="126" t="s">
        <v>154</v>
      </c>
      <c r="C21" s="131"/>
      <c r="D21" s="126"/>
    </row>
    <row r="22" spans="1:4" s="83" customFormat="1" ht="15.75" thickBot="1">
      <c r="A22" s="129"/>
      <c r="B22" s="126" t="s">
        <v>155</v>
      </c>
      <c r="C22" s="131"/>
      <c r="D22" s="126"/>
    </row>
    <row r="23" spans="1:4" s="83" customFormat="1" ht="30.75" thickBot="1">
      <c r="A23" s="129"/>
      <c r="B23" s="126" t="s">
        <v>156</v>
      </c>
      <c r="C23" s="131"/>
      <c r="D23" s="126"/>
    </row>
    <row r="24" spans="1:4" s="83" customFormat="1" ht="15.75" thickBot="1">
      <c r="A24" s="129"/>
      <c r="B24" s="126" t="s">
        <v>157</v>
      </c>
      <c r="C24" s="131"/>
      <c r="D24" s="126"/>
    </row>
    <row r="25" spans="1:4" s="83" customFormat="1" ht="15.75" thickBot="1">
      <c r="A25" s="129"/>
      <c r="B25" s="126" t="s">
        <v>158</v>
      </c>
      <c r="C25" s="131"/>
      <c r="D25" s="126"/>
    </row>
    <row r="26" spans="1:4" s="83" customFormat="1" ht="15.75" thickBot="1">
      <c r="A26" s="129"/>
      <c r="B26" s="126"/>
      <c r="C26" s="131"/>
      <c r="D26" s="126"/>
    </row>
    <row r="27" spans="1:4" ht="34.5" customHeight="1" thickBot="1">
      <c r="A27" s="84" t="s">
        <v>159</v>
      </c>
      <c r="B27" s="101"/>
      <c r="C27" s="102"/>
      <c r="D27" s="85"/>
    </row>
    <row r="28" spans="1:4" s="83" customFormat="1" ht="15.75" thickBot="1">
      <c r="A28" s="81"/>
      <c r="B28" s="82"/>
      <c r="C28" s="131"/>
      <c r="D28" s="126"/>
    </row>
    <row r="29" spans="1:4" s="83" customFormat="1" ht="15.75" thickBot="1">
      <c r="A29" s="129"/>
      <c r="B29" s="126"/>
      <c r="C29" s="131"/>
      <c r="D29" s="126"/>
    </row>
    <row r="30" spans="1:4" s="83" customFormat="1" ht="15.75" thickBot="1">
      <c r="A30" s="129"/>
      <c r="B30" s="126"/>
      <c r="C30" s="131"/>
      <c r="D30" s="126"/>
    </row>
    <row r="31" spans="1:4" s="83" customFormat="1" ht="15.75" thickBot="1">
      <c r="A31" s="129"/>
      <c r="B31" s="126"/>
      <c r="C31" s="131"/>
      <c r="D31" s="126"/>
    </row>
    <row r="32" spans="1:4" s="83" customFormat="1" ht="15.75" thickBot="1">
      <c r="A32" s="129"/>
      <c r="B32" s="126"/>
      <c r="C32" s="131"/>
      <c r="D32" s="126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2BD0-2088-43FA-8AE0-9C7E1AF702B2}">
  <sheetPr codeName="Sheet13">
    <tabColor theme="0" tint="-0.34998626667073579"/>
    <outlinePr summaryBelow="0" summaryRight="0"/>
  </sheetPr>
  <dimension ref="A1:G13"/>
  <sheetViews>
    <sheetView workbookViewId="0">
      <selection activeCell="B1" sqref="B1:B3"/>
    </sheetView>
  </sheetViews>
  <sheetFormatPr defaultColWidth="9.140625" defaultRowHeight="15"/>
  <cols>
    <col min="1" max="1" width="17.140625" bestFit="1" customWidth="1"/>
    <col min="2" max="2" width="25.5703125" customWidth="1"/>
    <col min="3" max="3" width="29" bestFit="1" customWidth="1"/>
    <col min="4" max="4" width="25.140625" customWidth="1"/>
    <col min="5" max="5" width="20.85546875" customWidth="1"/>
    <col min="6" max="6" width="24.28515625" customWidth="1"/>
    <col min="7" max="7" width="15.140625" bestFit="1" customWidth="1"/>
  </cols>
  <sheetData>
    <row r="1" spans="1:7">
      <c r="A1" s="41" t="str">
        <f>'Project Description'!A3</f>
        <v>Project Name</v>
      </c>
      <c r="B1" s="41" t="str">
        <f xml:space="preserve"> IF('Project Description'!B3&gt;0, 'Project Description'!B3, " ")</f>
        <v xml:space="preserve"> </v>
      </c>
      <c r="C1" s="12"/>
      <c r="D1" s="22"/>
    </row>
    <row r="2" spans="1:7">
      <c r="A2" s="41" t="str">
        <f>'Project Description'!A4</f>
        <v>Project Code</v>
      </c>
      <c r="B2" s="41" t="str">
        <f xml:space="preserve"> IF('Project Description'!B4&gt;0, 'Project Description'!B4, " ")</f>
        <v xml:space="preserve"> </v>
      </c>
      <c r="C2" s="24"/>
      <c r="D2" s="22"/>
    </row>
    <row r="3" spans="1:7">
      <c r="A3" s="41" t="str">
        <f>'Project Description'!A5</f>
        <v>Company</v>
      </c>
      <c r="B3" s="41" t="str">
        <f xml:space="preserve"> IF('Project Description'!B5&gt;0, 'Project Description'!B5, " ")</f>
        <v xml:space="preserve"> </v>
      </c>
      <c r="C3" s="24"/>
      <c r="D3" s="22"/>
    </row>
    <row r="4" spans="1:7">
      <c r="A4" s="21"/>
    </row>
    <row r="5" spans="1:7">
      <c r="A5" s="21"/>
    </row>
    <row r="6" spans="1:7">
      <c r="A6" s="35" t="s">
        <v>13</v>
      </c>
      <c r="B6" s="35" t="s">
        <v>160</v>
      </c>
      <c r="C6" s="35" t="s">
        <v>161</v>
      </c>
      <c r="D6" s="35" t="s">
        <v>162</v>
      </c>
      <c r="E6" s="35" t="s">
        <v>163</v>
      </c>
      <c r="F6" s="35" t="s">
        <v>164</v>
      </c>
      <c r="G6" s="35" t="s">
        <v>165</v>
      </c>
    </row>
    <row r="13" spans="1:7">
      <c r="A13" t="s">
        <v>166</v>
      </c>
      <c r="B13">
        <f>SUBTOTAL(109,Plant_Model[Value Stream/ Department])</f>
        <v>0</v>
      </c>
      <c r="C13">
        <f>SUBTOTAL(109,Plant_Model[Line/Cell Name])</f>
        <v>0</v>
      </c>
      <c r="D13">
        <f>SUBTOTAL(109,Plant_Model[Production Unit Name])</f>
        <v>0</v>
      </c>
      <c r="E13">
        <f>SUBTOTAL(109,Plant_Model[Production Unit Name])</f>
        <v>0</v>
      </c>
      <c r="F13">
        <f>SUBTOTAL(109,Plant_Model[Production Unit Name])</f>
        <v>0</v>
      </c>
      <c r="G13">
        <f>SUBTOTAL(109,Plant_Model[Production Unit Name])</f>
        <v>0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BE4E-1C7E-4F41-BAFD-A93509412E36}">
  <sheetPr codeName="Sheet10">
    <tabColor theme="0" tint="-0.34998626667073579"/>
    <outlinePr summaryBelow="0" summaryRight="0"/>
  </sheetPr>
  <dimension ref="A1:P35"/>
  <sheetViews>
    <sheetView zoomScale="106" zoomScaleNormal="106" workbookViewId="0">
      <pane xSplit="3" ySplit="6" topLeftCell="F7" activePane="bottomRight" state="frozen"/>
      <selection pane="bottomRight" activeCell="B1" sqref="B1:B3"/>
      <selection pane="bottomLeft" activeCell="D30" sqref="D30"/>
      <selection pane="topRight" activeCell="D30" sqref="D30"/>
    </sheetView>
  </sheetViews>
  <sheetFormatPr defaultColWidth="9.140625" defaultRowHeight="15" outlineLevelCol="1"/>
  <cols>
    <col min="1" max="1" width="12" style="27" bestFit="1" customWidth="1"/>
    <col min="2" max="2" width="12.140625" style="28" customWidth="1"/>
    <col min="3" max="3" width="26.42578125" style="27" bestFit="1" customWidth="1"/>
    <col min="4" max="4" width="26.42578125" style="27" customWidth="1"/>
    <col min="5" max="5" width="56.85546875" style="29" customWidth="1"/>
    <col min="6" max="6" width="19.42578125" style="29" customWidth="1" outlineLevel="1"/>
    <col min="7" max="7" width="30.5703125" style="28" customWidth="1" outlineLevel="1"/>
    <col min="8" max="8" width="21.42578125" style="28" customWidth="1" outlineLevel="1"/>
    <col min="9" max="9" width="14.5703125" style="27" customWidth="1" outlineLevel="1"/>
    <col min="10" max="10" width="16.28515625" style="2" bestFit="1" customWidth="1" outlineLevel="1"/>
    <col min="11" max="11" width="10" style="28" customWidth="1" outlineLevel="1"/>
    <col min="12" max="12" width="10.42578125" style="28" customWidth="1" outlineLevel="1"/>
    <col min="13" max="13" width="13.42578125" style="28" customWidth="1" outlineLevel="1"/>
    <col min="14" max="14" width="12.42578125" style="28" customWidth="1" outlineLevel="1"/>
    <col min="15" max="15" width="11.42578125" style="28" customWidth="1"/>
    <col min="16" max="16" width="27.5703125" style="28" customWidth="1"/>
    <col min="17" max="16384" width="9.140625" style="28"/>
  </cols>
  <sheetData>
    <row r="1" spans="1:16" customFormat="1">
      <c r="A1" s="41" t="str">
        <f>'Project Description'!A3</f>
        <v>Project Name</v>
      </c>
      <c r="B1" s="41" t="str">
        <f xml:space="preserve"> IF('Project Description'!B3&gt;0, 'Project Description'!B3, " ")</f>
        <v xml:space="preserve"> </v>
      </c>
      <c r="C1" s="12"/>
      <c r="D1" s="22"/>
    </row>
    <row r="2" spans="1:16" customFormat="1">
      <c r="A2" s="41" t="str">
        <f>'Project Description'!A4</f>
        <v>Project Code</v>
      </c>
      <c r="B2" s="41" t="str">
        <f xml:space="preserve"> IF('Project Description'!B4&gt;0, 'Project Description'!B4, " ")</f>
        <v xml:space="preserve"> </v>
      </c>
      <c r="C2" s="24"/>
      <c r="D2" s="22"/>
    </row>
    <row r="3" spans="1:16" customFormat="1">
      <c r="A3" s="41" t="str">
        <f>'Project Description'!A5</f>
        <v>Company</v>
      </c>
      <c r="B3" s="41" t="str">
        <f xml:space="preserve"> IF('Project Description'!B5&gt;0, 'Project Description'!B5, " ")</f>
        <v xml:space="preserve"> </v>
      </c>
      <c r="C3" s="24"/>
      <c r="D3" s="22"/>
    </row>
    <row r="4" spans="1:16" customFormat="1">
      <c r="A4" s="2"/>
      <c r="B4" s="23"/>
      <c r="C4" s="24"/>
      <c r="D4" s="22"/>
    </row>
    <row r="5" spans="1:16" ht="12.75">
      <c r="J5" s="29"/>
    </row>
    <row r="6" spans="1:16" s="30" customFormat="1" ht="38.25">
      <c r="A6" s="38" t="s">
        <v>13</v>
      </c>
      <c r="B6" s="38" t="s">
        <v>167</v>
      </c>
      <c r="C6" s="38" t="s">
        <v>168</v>
      </c>
      <c r="D6" s="38" t="s">
        <v>169</v>
      </c>
      <c r="E6" s="38" t="s">
        <v>170</v>
      </c>
      <c r="F6" s="38" t="s">
        <v>171</v>
      </c>
      <c r="G6" s="38" t="s">
        <v>172</v>
      </c>
      <c r="H6" s="38" t="s">
        <v>173</v>
      </c>
      <c r="I6" s="38" t="s">
        <v>174</v>
      </c>
      <c r="J6" s="38" t="s">
        <v>175</v>
      </c>
      <c r="K6" s="38" t="s">
        <v>176</v>
      </c>
      <c r="L6" s="38" t="s">
        <v>177</v>
      </c>
      <c r="M6" s="38" t="s">
        <v>178</v>
      </c>
      <c r="N6" s="38" t="s">
        <v>179</v>
      </c>
      <c r="O6" s="38" t="s">
        <v>180</v>
      </c>
      <c r="P6" s="38" t="s">
        <v>181</v>
      </c>
    </row>
    <row r="7" spans="1:16">
      <c r="A7" s="39">
        <f>'Plant Model'!A7</f>
        <v>0</v>
      </c>
      <c r="B7" s="39">
        <f>'Plant Model'!B7</f>
        <v>0</v>
      </c>
      <c r="C7" s="39">
        <f>'Plant Model'!C7</f>
        <v>0</v>
      </c>
      <c r="D7" s="39">
        <f>'Plant Model'!D7</f>
        <v>0</v>
      </c>
      <c r="E7" s="36"/>
      <c r="F7" s="2"/>
      <c r="G7"/>
      <c r="H7" s="2">
        <v>2</v>
      </c>
      <c r="I7" s="2">
        <v>2</v>
      </c>
      <c r="K7" s="2">
        <v>1</v>
      </c>
      <c r="L7" s="2"/>
      <c r="M7" s="2"/>
      <c r="N7" s="2"/>
      <c r="O7" s="2">
        <v>2</v>
      </c>
      <c r="P7" s="36"/>
    </row>
    <row r="8" spans="1:16">
      <c r="A8" s="39">
        <f>'Plant Model'!A8</f>
        <v>0</v>
      </c>
      <c r="B8" s="39">
        <f>'Plant Model'!B8</f>
        <v>0</v>
      </c>
      <c r="C8" s="39">
        <f>'Plant Model'!C8</f>
        <v>0</v>
      </c>
      <c r="D8" s="39">
        <f>'Plant Model'!D8</f>
        <v>0</v>
      </c>
      <c r="E8" s="36"/>
      <c r="F8" s="2"/>
      <c r="G8"/>
      <c r="H8" s="2"/>
      <c r="I8" s="2"/>
      <c r="K8" s="2"/>
      <c r="L8" s="2"/>
      <c r="M8" s="2"/>
      <c r="N8" s="2"/>
      <c r="O8" s="2"/>
      <c r="P8" s="36"/>
    </row>
    <row r="9" spans="1:16">
      <c r="A9" s="39">
        <f>'Plant Model'!A9</f>
        <v>0</v>
      </c>
      <c r="B9" s="39">
        <f>'Plant Model'!B9</f>
        <v>0</v>
      </c>
      <c r="C9" s="39">
        <f>'Plant Model'!C9</f>
        <v>0</v>
      </c>
      <c r="D9" s="39">
        <f>'Plant Model'!D9</f>
        <v>0</v>
      </c>
      <c r="E9" s="36"/>
      <c r="F9" s="2"/>
      <c r="G9"/>
      <c r="H9" s="2"/>
      <c r="I9" s="2"/>
      <c r="K9" s="2"/>
      <c r="L9" s="2"/>
      <c r="M9" s="2"/>
      <c r="N9" s="2"/>
      <c r="O9" s="2"/>
      <c r="P9" s="36"/>
    </row>
    <row r="10" spans="1:16">
      <c r="A10" s="39">
        <f>'Plant Model'!A10</f>
        <v>0</v>
      </c>
      <c r="B10" s="39">
        <f>'Plant Model'!B10</f>
        <v>0</v>
      </c>
      <c r="C10" s="39">
        <f>'Plant Model'!C10</f>
        <v>0</v>
      </c>
      <c r="D10" s="39">
        <f>'Plant Model'!D10</f>
        <v>0</v>
      </c>
      <c r="E10" s="2"/>
      <c r="F10" s="2"/>
      <c r="G10"/>
      <c r="H10" s="2"/>
      <c r="I10" s="2"/>
      <c r="K10" s="2"/>
      <c r="L10" s="2"/>
      <c r="M10" s="2"/>
      <c r="N10" s="2"/>
      <c r="O10" s="2"/>
      <c r="P10" s="36"/>
    </row>
    <row r="11" spans="1:16">
      <c r="A11" s="39">
        <f>'Plant Model'!A11</f>
        <v>0</v>
      </c>
      <c r="B11" s="39">
        <f>'Plant Model'!B11</f>
        <v>0</v>
      </c>
      <c r="C11" s="39">
        <f>'Plant Model'!C11</f>
        <v>0</v>
      </c>
      <c r="D11" s="39">
        <f>'Plant Model'!D11</f>
        <v>0</v>
      </c>
      <c r="E11" s="2"/>
      <c r="F11" s="2"/>
      <c r="G11" s="2"/>
      <c r="H11" s="2"/>
      <c r="I11" s="2"/>
      <c r="K11" s="2"/>
      <c r="L11" s="2"/>
      <c r="M11" s="2"/>
      <c r="N11" s="2"/>
      <c r="O11" s="2"/>
      <c r="P11" s="36"/>
    </row>
    <row r="12" spans="1:16">
      <c r="A12" s="39">
        <f>'Plant Model'!A12</f>
        <v>0</v>
      </c>
      <c r="B12" s="39">
        <f>'Plant Model'!B12</f>
        <v>0</v>
      </c>
      <c r="C12" s="39">
        <f>'Plant Model'!C12</f>
        <v>0</v>
      </c>
      <c r="D12" s="39">
        <f>'Plant Model'!D12</f>
        <v>0</v>
      </c>
      <c r="E12" s="36"/>
      <c r="F12" s="2"/>
      <c r="G12" s="2"/>
      <c r="H12" s="2"/>
      <c r="I12" s="2"/>
      <c r="K12" s="2"/>
      <c r="L12" s="2"/>
      <c r="M12" s="2"/>
      <c r="N12" s="2"/>
      <c r="O12" s="2"/>
      <c r="P12" s="36"/>
    </row>
    <row r="13" spans="1:16" ht="12.75">
      <c r="A13" s="31" t="s">
        <v>166</v>
      </c>
      <c r="B13" s="32"/>
      <c r="C13" s="31"/>
      <c r="D13" s="31"/>
      <c r="E13" s="33"/>
      <c r="F13" s="33">
        <f>SUBTOTAL(109,Scope[PLC Number])</f>
        <v>0</v>
      </c>
      <c r="G13" s="33"/>
      <c r="H13" s="33">
        <f>SUBTOTAL(109,Scope[TL70
Counter/Call For Help])</f>
        <v>2</v>
      </c>
      <c r="I13" s="33">
        <f>SUBTOTAL(109,Scope[Call for Help (Button + Light)])</f>
        <v>2</v>
      </c>
      <c r="J13" s="33">
        <f>SUBTOTAL(109,Scope[Set Up Switch
(Button+Light)])</f>
        <v>0</v>
      </c>
      <c r="K13" s="33">
        <f>SUBTOTAL(109,Scope[Photooptic Sensor])</f>
        <v>1</v>
      </c>
      <c r="L13" s="33">
        <f>SUBTOTAL(109,Scope[Current Sensor])</f>
        <v>0</v>
      </c>
      <c r="M13" s="33">
        <f>SUBTOTAL(109,Scope[Current Sensor 0.5 mA])</f>
        <v>0</v>
      </c>
      <c r="N13" s="33">
        <f>SUBTOTAL(109,Scope[Festo Pressure switch])</f>
        <v>0</v>
      </c>
      <c r="O13" s="33">
        <f>SUBTOTAL(109,Scope[Wireless Pendant])</f>
        <v>2</v>
      </c>
      <c r="P13" s="33"/>
    </row>
    <row r="16" spans="1:16">
      <c r="L16" s="34"/>
      <c r="M16" s="34"/>
    </row>
    <row r="35" spans="1:13" s="34" customFormat="1">
      <c r="A35" s="27"/>
      <c r="B35" s="28"/>
      <c r="C35" s="27"/>
      <c r="D35" s="27"/>
      <c r="E35" s="29"/>
      <c r="F35" s="29"/>
      <c r="G35" s="28"/>
      <c r="H35" s="28"/>
      <c r="I35" s="27"/>
      <c r="J35" s="2"/>
      <c r="K35" s="28"/>
      <c r="L35" s="28"/>
      <c r="M35" s="28"/>
    </row>
  </sheetData>
  <phoneticPr fontId="25" type="noConversion"/>
  <hyperlinks>
    <hyperlink ref="C6" r:id="rId1" xr:uid="{AAB7CAE2-0166-48E6-B321-1C00348CC87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C409-84C4-4965-B764-85BEFF0A5905}">
  <sheetPr codeName="Sheet11">
    <tabColor theme="0" tint="-0.34998626667073579"/>
    <outlinePr summaryBelow="0" summaryRight="0"/>
  </sheetPr>
  <dimension ref="A1:K22"/>
  <sheetViews>
    <sheetView zoomScaleNormal="100" workbookViewId="0">
      <pane xSplit="3" ySplit="6" topLeftCell="D7" activePane="bottomRight" state="frozen"/>
      <selection pane="bottomRight" activeCell="B1" sqref="B1:B3"/>
      <selection pane="bottomLeft" activeCell="D30" sqref="D30"/>
      <selection pane="topRight" activeCell="D30" sqref="D30"/>
    </sheetView>
  </sheetViews>
  <sheetFormatPr defaultColWidth="9.140625" defaultRowHeight="15"/>
  <cols>
    <col min="1" max="1" width="11.85546875" style="27" customWidth="1"/>
    <col min="2" max="2" width="12.140625" style="28" customWidth="1"/>
    <col min="3" max="3" width="26.42578125" style="27" bestFit="1" customWidth="1"/>
    <col min="4" max="4" width="26.42578125" style="27" customWidth="1"/>
    <col min="5" max="5" width="9.42578125" style="29" bestFit="1" customWidth="1"/>
    <col min="6" max="6" width="22" style="29" customWidth="1"/>
    <col min="7" max="7" width="19.42578125" style="29" bestFit="1" customWidth="1"/>
    <col min="8" max="8" width="14.5703125" style="28" customWidth="1"/>
    <col min="9" max="9" width="12.7109375" style="28" bestFit="1" customWidth="1"/>
    <col min="10" max="10" width="18.140625" style="27" bestFit="1" customWidth="1"/>
    <col min="11" max="11" width="15.42578125" style="2" bestFit="1" customWidth="1"/>
    <col min="12" max="12" width="13.42578125" style="28" bestFit="1" customWidth="1"/>
    <col min="13" max="13" width="9.140625" style="28"/>
    <col min="14" max="14" width="9" style="28" bestFit="1" customWidth="1"/>
    <col min="15" max="15" width="12.140625" style="28" customWidth="1"/>
    <col min="16" max="16" width="3.28515625" style="28" customWidth="1"/>
    <col min="17" max="19" width="9.140625" style="28"/>
    <col min="20" max="20" width="12.85546875" style="28" customWidth="1"/>
    <col min="21" max="21" width="14.140625" style="28" customWidth="1"/>
    <col min="22" max="22" width="16.5703125" style="28" customWidth="1"/>
    <col min="23" max="23" width="16.42578125" style="28" customWidth="1"/>
    <col min="24" max="24" width="10.5703125" style="28" customWidth="1"/>
    <col min="25" max="16384" width="9.140625" style="28"/>
  </cols>
  <sheetData>
    <row r="1" spans="1:11">
      <c r="A1" s="42" t="str">
        <f>'Project Description'!A3</f>
        <v>Project Name</v>
      </c>
      <c r="B1" s="41" t="str">
        <f xml:space="preserve"> IF('Project Description'!B3&gt;0, 'Project Description'!B3, " ")</f>
        <v xml:space="preserve"> </v>
      </c>
    </row>
    <row r="2" spans="1:11">
      <c r="A2" s="42" t="str">
        <f>'Project Description'!A4</f>
        <v>Project Code</v>
      </c>
      <c r="B2" s="41" t="str">
        <f xml:space="preserve"> IF('Project Description'!B4&gt;0, 'Project Description'!B4, " ")</f>
        <v xml:space="preserve"> </v>
      </c>
    </row>
    <row r="3" spans="1:11">
      <c r="A3" s="42" t="str">
        <f>'Project Description'!A5</f>
        <v>Company</v>
      </c>
      <c r="B3" s="41" t="str">
        <f xml:space="preserve"> IF('Project Description'!B5&gt;0, 'Project Description'!B5, " ")</f>
        <v xml:space="preserve"> </v>
      </c>
    </row>
    <row r="5" spans="1:11" ht="12.75">
      <c r="K5" s="29"/>
    </row>
    <row r="6" spans="1:11" s="30" customFormat="1" ht="12.75">
      <c r="A6" s="38" t="s">
        <v>13</v>
      </c>
      <c r="B6" s="38" t="s">
        <v>167</v>
      </c>
      <c r="C6" s="38" t="s">
        <v>168</v>
      </c>
      <c r="D6" s="38" t="s">
        <v>169</v>
      </c>
      <c r="E6" s="38" t="s">
        <v>182</v>
      </c>
      <c r="F6" s="38" t="s">
        <v>181</v>
      </c>
    </row>
    <row r="7" spans="1:11">
      <c r="A7" s="43">
        <f>'Plant Model'!A7</f>
        <v>0</v>
      </c>
      <c r="B7" s="43">
        <f>'Plant Model'!B7</f>
        <v>0</v>
      </c>
      <c r="C7" s="43">
        <f>'Plant Model'!C7</f>
        <v>0</v>
      </c>
      <c r="D7" s="43">
        <f>'Plant Model'!D7</f>
        <v>0</v>
      </c>
      <c r="E7" s="43"/>
      <c r="F7" s="37"/>
      <c r="G7" s="28"/>
      <c r="J7" s="28"/>
      <c r="K7" s="28"/>
    </row>
    <row r="8" spans="1:11">
      <c r="A8" s="43">
        <f>'Plant Model'!A8</f>
        <v>0</v>
      </c>
      <c r="B8" s="43">
        <f>'Plant Model'!B8</f>
        <v>0</v>
      </c>
      <c r="C8" s="43">
        <f>'Plant Model'!C8</f>
        <v>0</v>
      </c>
      <c r="D8" s="43">
        <f>'Plant Model'!D8</f>
        <v>0</v>
      </c>
      <c r="E8" s="43"/>
      <c r="F8" s="37"/>
      <c r="G8" s="28"/>
      <c r="J8" s="28"/>
      <c r="K8" s="28"/>
    </row>
    <row r="9" spans="1:11">
      <c r="A9" s="43">
        <f>'Plant Model'!A9</f>
        <v>0</v>
      </c>
      <c r="B9" s="43">
        <f>'Plant Model'!B9</f>
        <v>0</v>
      </c>
      <c r="C9" s="43">
        <f>'Plant Model'!C9</f>
        <v>0</v>
      </c>
      <c r="D9" s="43">
        <f>'Plant Model'!D9</f>
        <v>0</v>
      </c>
      <c r="E9" s="43"/>
      <c r="F9" s="37"/>
      <c r="G9" s="28"/>
      <c r="J9" s="28"/>
      <c r="K9" s="28"/>
    </row>
    <row r="10" spans="1:11">
      <c r="A10" s="43">
        <f>'Plant Model'!A10</f>
        <v>0</v>
      </c>
      <c r="B10" s="43">
        <f>'Plant Model'!B10</f>
        <v>0</v>
      </c>
      <c r="C10" s="43">
        <f>'Plant Model'!C10</f>
        <v>0</v>
      </c>
      <c r="D10" s="43">
        <f>'Plant Model'!D10</f>
        <v>0</v>
      </c>
      <c r="E10" s="43"/>
      <c r="F10" s="37"/>
      <c r="G10" s="28"/>
      <c r="J10" s="28"/>
      <c r="K10" s="28"/>
    </row>
    <row r="11" spans="1:11">
      <c r="A11" s="43">
        <f>'Plant Model'!A11</f>
        <v>0</v>
      </c>
      <c r="B11" s="43">
        <f>'Plant Model'!B11</f>
        <v>0</v>
      </c>
      <c r="C11" s="43">
        <f>'Plant Model'!C11</f>
        <v>0</v>
      </c>
      <c r="D11" s="43">
        <f>'Plant Model'!D11</f>
        <v>0</v>
      </c>
      <c r="E11" s="43"/>
      <c r="F11" s="37"/>
      <c r="G11" s="28"/>
      <c r="J11" s="28"/>
      <c r="K11" s="28"/>
    </row>
    <row r="12" spans="1:11" ht="12.75">
      <c r="A12" s="31" t="s">
        <v>166</v>
      </c>
      <c r="B12" s="32"/>
      <c r="C12" s="31"/>
      <c r="D12" s="31"/>
      <c r="E12" s="33">
        <f>SUBTOTAL(109,Data_Sources[Tags])</f>
        <v>0</v>
      </c>
      <c r="F12" s="33">
        <f>SUBTOTAL(109,Data_Sources[Comments])</f>
        <v>0</v>
      </c>
      <c r="G12" s="28"/>
      <c r="J12" s="28"/>
      <c r="K12" s="28"/>
    </row>
    <row r="13" spans="1:11" ht="12.75">
      <c r="J13" s="28"/>
      <c r="K13" s="28"/>
    </row>
    <row r="14" spans="1:11" ht="12.75">
      <c r="J14" s="28"/>
      <c r="K14" s="28"/>
    </row>
    <row r="15" spans="1:11" ht="12.75">
      <c r="J15" s="28"/>
      <c r="K15" s="28"/>
    </row>
    <row r="16" spans="1:11" ht="12.75">
      <c r="A16" s="50" t="s">
        <v>169</v>
      </c>
      <c r="B16" s="50" t="s">
        <v>183</v>
      </c>
      <c r="C16" s="51" t="s">
        <v>184</v>
      </c>
      <c r="J16" s="28"/>
      <c r="K16" s="28"/>
    </row>
    <row r="17" spans="1:11" ht="12.75">
      <c r="A17" s="48">
        <f>'Plant Model'!$D$7</f>
        <v>0</v>
      </c>
      <c r="B17" s="48" t="s">
        <v>185</v>
      </c>
      <c r="C17" s="49" t="s">
        <v>186</v>
      </c>
      <c r="J17" s="28"/>
      <c r="K17" s="28"/>
    </row>
    <row r="18" spans="1:11" ht="12.75">
      <c r="A18" s="48">
        <f>'Plant Model'!$D$7</f>
        <v>0</v>
      </c>
      <c r="B18" s="48" t="s">
        <v>185</v>
      </c>
      <c r="C18" s="49" t="s">
        <v>187</v>
      </c>
      <c r="J18" s="28"/>
      <c r="K18" s="28"/>
    </row>
    <row r="19" spans="1:11" ht="12.75">
      <c r="A19" s="48">
        <f>'Plant Model'!$D$7</f>
        <v>0</v>
      </c>
      <c r="B19" s="48" t="s">
        <v>185</v>
      </c>
      <c r="C19" s="49" t="s">
        <v>188</v>
      </c>
      <c r="J19" s="28"/>
      <c r="K19" s="28"/>
    </row>
    <row r="20" spans="1:11" ht="12.75">
      <c r="A20" s="48">
        <f>'Plant Model'!$D$7</f>
        <v>0</v>
      </c>
      <c r="B20" s="48" t="s">
        <v>185</v>
      </c>
      <c r="C20" s="49" t="s">
        <v>189</v>
      </c>
      <c r="J20" s="28"/>
      <c r="K20" s="28"/>
    </row>
    <row r="21" spans="1:11" ht="12.75">
      <c r="A21" s="48">
        <f>'Plant Model'!$D$7</f>
        <v>0</v>
      </c>
      <c r="B21" s="48" t="s">
        <v>185</v>
      </c>
      <c r="C21" s="49" t="s">
        <v>190</v>
      </c>
      <c r="J21" s="28"/>
      <c r="K21" s="28"/>
    </row>
    <row r="22" spans="1:11" ht="12.75">
      <c r="A22" s="48">
        <f>'Plant Model'!$D$7</f>
        <v>0</v>
      </c>
      <c r="B22" s="48" t="s">
        <v>185</v>
      </c>
      <c r="C22" s="49" t="s">
        <v>191</v>
      </c>
      <c r="J22" s="28"/>
      <c r="K22" s="28"/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ABF8-D098-4CCC-8831-80FBB74B0D53}">
  <sheetPr codeName="Sheet5">
    <tabColor theme="0" tint="-0.34998626667073579"/>
    <outlinePr summaryBelow="0"/>
  </sheetPr>
  <dimension ref="A1:AC36"/>
  <sheetViews>
    <sheetView workbookViewId="0">
      <selection activeCell="B1" sqref="B1:B3"/>
    </sheetView>
  </sheetViews>
  <sheetFormatPr defaultColWidth="8.42578125" defaultRowHeight="15"/>
  <cols>
    <col min="1" max="1" width="12.140625" bestFit="1" customWidth="1"/>
    <col min="2" max="2" width="22" customWidth="1"/>
    <col min="3" max="3" width="19.28515625" bestFit="1" customWidth="1"/>
    <col min="4" max="4" width="28.85546875" bestFit="1" customWidth="1"/>
    <col min="5" max="5" width="24.5703125" customWidth="1"/>
    <col min="6" max="6" width="18.85546875" customWidth="1"/>
    <col min="7" max="7" width="15.140625" customWidth="1"/>
    <col min="8" max="8" width="11.5703125" bestFit="1" customWidth="1"/>
    <col min="9" max="9" width="11.85546875" bestFit="1" customWidth="1"/>
    <col min="10" max="10" width="11.28515625" customWidth="1"/>
    <col min="11" max="11" width="13.7109375" bestFit="1" customWidth="1"/>
    <col min="12" max="12" width="13.85546875" bestFit="1" customWidth="1"/>
    <col min="13" max="13" width="16.5703125" customWidth="1"/>
    <col min="14" max="14" width="15.140625" customWidth="1"/>
    <col min="15" max="15" width="16.85546875" customWidth="1"/>
    <col min="16" max="16" width="13" customWidth="1"/>
    <col min="17" max="17" width="16.85546875" customWidth="1"/>
    <col min="18" max="18" width="12.85546875" customWidth="1"/>
    <col min="19" max="19" width="17.42578125" customWidth="1"/>
    <col min="20" max="20" width="21.140625" bestFit="1" customWidth="1"/>
    <col min="21" max="21" width="20.42578125" customWidth="1"/>
    <col min="22" max="22" width="11.85546875" customWidth="1"/>
    <col min="23" max="23" width="15.140625" customWidth="1"/>
    <col min="24" max="24" width="13.140625" customWidth="1"/>
    <col min="25" max="25" width="11.28515625" customWidth="1"/>
    <col min="26" max="26" width="17.140625" customWidth="1"/>
    <col min="27" max="27" width="11.7109375" customWidth="1"/>
    <col min="28" max="99" width="11.28515625" customWidth="1"/>
    <col min="100" max="999" width="12.28515625" customWidth="1"/>
    <col min="1000" max="9999" width="13.28515625" customWidth="1"/>
    <col min="10000" max="16384" width="14.28515625" customWidth="1"/>
  </cols>
  <sheetData>
    <row r="1" spans="1:29">
      <c r="A1" s="42" t="str">
        <f>'Project Description'!A3</f>
        <v>Project Name</v>
      </c>
      <c r="B1" s="41" t="str">
        <f xml:space="preserve"> IF('Project Description'!B3&gt;0, 'Project Description'!B3, " ")</f>
        <v xml:space="preserve"> </v>
      </c>
      <c r="C1" s="12"/>
      <c r="D1" s="12"/>
      <c r="E1" s="12"/>
      <c r="F1" s="12"/>
      <c r="G1" s="12"/>
      <c r="H1" s="22"/>
      <c r="I1" s="1"/>
      <c r="AC1" s="1"/>
    </row>
    <row r="2" spans="1:29">
      <c r="A2" s="42" t="str">
        <f>'Project Description'!A4</f>
        <v>Project Code</v>
      </c>
      <c r="B2" s="41" t="str">
        <f xml:space="preserve"> IF('Project Description'!B4&gt;0, 'Project Description'!B4, " ")</f>
        <v xml:space="preserve"> </v>
      </c>
      <c r="C2" s="12"/>
      <c r="D2" s="12"/>
      <c r="E2" s="12"/>
      <c r="F2" s="12"/>
      <c r="G2" s="24"/>
      <c r="H2" s="22"/>
      <c r="I2" s="1"/>
      <c r="AC2" s="1"/>
    </row>
    <row r="3" spans="1:29">
      <c r="A3" s="42" t="str">
        <f>'Project Description'!A5</f>
        <v>Company</v>
      </c>
      <c r="B3" s="41" t="str">
        <f xml:space="preserve"> IF('Project Description'!B5&gt;0, 'Project Description'!B5, " ")</f>
        <v xml:space="preserve"> </v>
      </c>
      <c r="C3" s="4"/>
      <c r="D3" s="4"/>
      <c r="E3" s="25"/>
      <c r="F3" s="4"/>
      <c r="G3" s="4"/>
    </row>
    <row r="4" spans="1:29">
      <c r="A4" s="45"/>
      <c r="B4" s="45"/>
      <c r="C4" s="4"/>
      <c r="D4" s="4"/>
      <c r="E4" s="25"/>
      <c r="F4" s="4"/>
      <c r="G4" s="4"/>
    </row>
    <row r="5" spans="1:29">
      <c r="A5" s="45"/>
      <c r="B5" s="45"/>
      <c r="C5" s="4"/>
      <c r="D5" s="4"/>
      <c r="E5" s="25"/>
      <c r="F5" s="4"/>
      <c r="G5" s="4"/>
    </row>
    <row r="6" spans="1:29" ht="29.1" customHeight="1">
      <c r="A6" s="46" t="s">
        <v>13</v>
      </c>
      <c r="B6" s="38" t="s">
        <v>192</v>
      </c>
      <c r="C6" s="38" t="s">
        <v>193</v>
      </c>
      <c r="D6" s="38" t="s">
        <v>194</v>
      </c>
      <c r="E6" s="38" t="s">
        <v>195</v>
      </c>
      <c r="F6" s="38" t="s">
        <v>196</v>
      </c>
      <c r="G6" s="38" t="s">
        <v>197</v>
      </c>
      <c r="H6" s="38" t="s">
        <v>198</v>
      </c>
      <c r="I6" s="38" t="s">
        <v>199</v>
      </c>
      <c r="J6" s="38" t="s">
        <v>200</v>
      </c>
      <c r="K6" s="38" t="s">
        <v>201</v>
      </c>
    </row>
    <row r="7" spans="1:29">
      <c r="A7" s="44">
        <f>'Plant Model'!A7</f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9">
      <c r="A8" s="44" t="s">
        <v>166</v>
      </c>
      <c r="B8" s="52">
        <f>SUBTOTAL(109,Visualization[Site View])</f>
        <v>0</v>
      </c>
      <c r="C8" s="52">
        <f>SUBTOTAL(109,Visualization[Energy Consumption])</f>
        <v>0</v>
      </c>
      <c r="D8" s="52">
        <f>SUBTOTAL(109,Visualization[Utility Consumption])</f>
        <v>0</v>
      </c>
      <c r="E8" s="52">
        <f>SUBTOTAL(109,Visualization[Work Order Manager])</f>
        <v>0</v>
      </c>
      <c r="F8" s="52">
        <f>SUBTOTAL(109,Visualization[Condition Monitoring])</f>
        <v>0</v>
      </c>
      <c r="G8" s="52">
        <f>SUBTOTAL(109,Visualization[Reporting (Power BI)])</f>
        <v>0</v>
      </c>
      <c r="H8" s="52">
        <f>SUBTOTAL(109,Visualization[Map Site View])</f>
        <v>0</v>
      </c>
      <c r="I8" s="52">
        <f>SUBTOTAL(109,Visualization[Product Manager])</f>
        <v>0</v>
      </c>
      <c r="J8" s="52">
        <f>SUBTOTAL(109,Visualization[Scheduler])</f>
        <v>0</v>
      </c>
      <c r="K8" s="52">
        <f>SUBTOTAL(109,Visualization[Shift Report])</f>
        <v>0</v>
      </c>
    </row>
    <row r="10" spans="1:29" ht="29.1" customHeight="1">
      <c r="A10" s="38" t="s">
        <v>13</v>
      </c>
      <c r="B10" s="38" t="s">
        <v>160</v>
      </c>
      <c r="C10" s="46" t="s">
        <v>161</v>
      </c>
      <c r="D10" s="38" t="s">
        <v>202</v>
      </c>
      <c r="E10" s="38" t="s">
        <v>203</v>
      </c>
      <c r="F10" s="38" t="s">
        <v>204</v>
      </c>
      <c r="G10" s="38" t="s">
        <v>205</v>
      </c>
      <c r="H10" s="38" t="s">
        <v>206</v>
      </c>
      <c r="I10" s="38" t="s">
        <v>193</v>
      </c>
      <c r="J10" s="38" t="s">
        <v>194</v>
      </c>
      <c r="K10" s="38" t="s">
        <v>207</v>
      </c>
      <c r="L10" s="38" t="s">
        <v>196</v>
      </c>
      <c r="M10" s="38" t="s">
        <v>201</v>
      </c>
    </row>
    <row r="11" spans="1:29">
      <c r="A11" s="44">
        <f>'Plant Model'!A7</f>
        <v>0</v>
      </c>
      <c r="B11" s="44">
        <f>'Plant Model'!B7</f>
        <v>0</v>
      </c>
      <c r="C11" s="44">
        <f>'Plant Model'!C7</f>
        <v>0</v>
      </c>
      <c r="D11" s="26">
        <v>0</v>
      </c>
      <c r="E11" s="26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29">
      <c r="A12" s="44">
        <f>'Plant Model'!A8</f>
        <v>0</v>
      </c>
      <c r="B12" s="44">
        <f>'Plant Model'!B8</f>
        <v>0</v>
      </c>
      <c r="C12" s="44">
        <f>'Plant Model'!C8</f>
        <v>0</v>
      </c>
      <c r="D12" s="26"/>
      <c r="E12" s="26"/>
    </row>
    <row r="13" spans="1:29">
      <c r="A13" s="44">
        <f>'Plant Model'!A9</f>
        <v>0</v>
      </c>
      <c r="B13" s="44">
        <f>'Plant Model'!B9</f>
        <v>0</v>
      </c>
      <c r="C13" s="44">
        <f>'Plant Model'!C9</f>
        <v>0</v>
      </c>
      <c r="D13" s="26"/>
      <c r="E13" s="26"/>
    </row>
    <row r="14" spans="1:29">
      <c r="A14" s="44">
        <f>'Plant Model'!A10</f>
        <v>0</v>
      </c>
      <c r="B14" s="44">
        <f>'Plant Model'!B10</f>
        <v>0</v>
      </c>
      <c r="C14" s="44">
        <f>'Plant Model'!C10</f>
        <v>0</v>
      </c>
      <c r="D14" s="26"/>
      <c r="E14" s="26"/>
    </row>
    <row r="15" spans="1:29">
      <c r="A15" s="44">
        <f>'Plant Model'!A11</f>
        <v>0</v>
      </c>
      <c r="B15" s="44">
        <f>'Plant Model'!B11</f>
        <v>0</v>
      </c>
      <c r="C15" s="44">
        <f>'Plant Model'!C11</f>
        <v>0</v>
      </c>
      <c r="D15" s="26"/>
      <c r="E15" s="26"/>
    </row>
    <row r="16" spans="1:29">
      <c r="A16" s="44" t="s">
        <v>166</v>
      </c>
      <c r="B16" s="44"/>
      <c r="C16" s="44"/>
      <c r="D16">
        <f>SUBTOTAL(109,Table14[Cell View])</f>
        <v>0</v>
      </c>
      <c r="E16">
        <f>SUBTOTAL(109,Table14[Line View])</f>
        <v>0</v>
      </c>
      <c r="F16">
        <f>SUBTOTAL(109,Table14[Grid View])</f>
        <v>0</v>
      </c>
      <c r="G16">
        <f>SUBTOTAL(109,Table14[Call for Help])</f>
        <v>0</v>
      </c>
      <c r="H16">
        <f>SUBTOTAL(109,Table14[Call for Parts])</f>
        <v>0</v>
      </c>
      <c r="I16">
        <f>SUBTOTAL(109,Table14[Energy Consumption])</f>
        <v>0</v>
      </c>
      <c r="J16">
        <f>SUBTOTAL(109,Table14[Utility Consumption])</f>
        <v>0</v>
      </c>
      <c r="K16">
        <f>SUBTOTAL(109,Table14[Process Verification])</f>
        <v>0</v>
      </c>
      <c r="L16">
        <f>SUBTOTAL(109,Table14[Condition Monitoring])</f>
        <v>0</v>
      </c>
      <c r="M16">
        <f>SUBTOTAL(109,Table14[Shift Report])</f>
        <v>0</v>
      </c>
    </row>
    <row r="18" spans="1:13" ht="38.25">
      <c r="A18" s="38" t="s">
        <v>13</v>
      </c>
      <c r="B18" s="38" t="s">
        <v>160</v>
      </c>
      <c r="C18" s="38" t="s">
        <v>161</v>
      </c>
      <c r="D18" s="46" t="s">
        <v>162</v>
      </c>
      <c r="E18" s="38" t="s">
        <v>208</v>
      </c>
      <c r="F18" s="38" t="s">
        <v>209</v>
      </c>
      <c r="G18" s="38" t="s">
        <v>205</v>
      </c>
      <c r="H18" s="38" t="s">
        <v>206</v>
      </c>
      <c r="I18" s="38" t="s">
        <v>193</v>
      </c>
      <c r="J18" s="38" t="s">
        <v>194</v>
      </c>
      <c r="K18" s="38" t="s">
        <v>207</v>
      </c>
      <c r="L18" s="38" t="s">
        <v>196</v>
      </c>
      <c r="M18" s="38" t="s">
        <v>210</v>
      </c>
    </row>
    <row r="19" spans="1:13">
      <c r="A19" s="44">
        <f>'Plant Model'!A7</f>
        <v>0</v>
      </c>
      <c r="B19" s="44">
        <f>'Plant Model'!B7</f>
        <v>0</v>
      </c>
      <c r="C19" s="44">
        <f>'Plant Model'!C7</f>
        <v>0</v>
      </c>
      <c r="D19" s="44">
        <f>'Plant Model'!D7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s="44">
        <f>'Plant Model'!A8</f>
        <v>0</v>
      </c>
      <c r="B20" s="44">
        <f>'Plant Model'!B8</f>
        <v>0</v>
      </c>
      <c r="C20" s="44">
        <f>'Plant Model'!C8</f>
        <v>0</v>
      </c>
      <c r="D20" s="44">
        <f>'Plant Model'!D8</f>
        <v>0</v>
      </c>
    </row>
    <row r="21" spans="1:13">
      <c r="A21" s="44">
        <f>'Plant Model'!A9</f>
        <v>0</v>
      </c>
      <c r="B21" s="44">
        <f>'Plant Model'!B9</f>
        <v>0</v>
      </c>
      <c r="C21" s="44">
        <f>'Plant Model'!C9</f>
        <v>0</v>
      </c>
      <c r="D21" s="44">
        <f>'Plant Model'!D9</f>
        <v>0</v>
      </c>
    </row>
    <row r="22" spans="1:13">
      <c r="A22" s="44">
        <f>'Plant Model'!A10</f>
        <v>0</v>
      </c>
      <c r="B22" s="44">
        <f>'Plant Model'!B10</f>
        <v>0</v>
      </c>
      <c r="C22" s="44">
        <f>'Plant Model'!C10</f>
        <v>0</v>
      </c>
      <c r="D22" s="44">
        <f>'Plant Model'!D10</f>
        <v>0</v>
      </c>
    </row>
    <row r="23" spans="1:13">
      <c r="A23" s="44">
        <f>'Plant Model'!A11</f>
        <v>0</v>
      </c>
      <c r="B23" s="44">
        <f>'Plant Model'!B11</f>
        <v>0</v>
      </c>
      <c r="C23" s="44">
        <f>'Plant Model'!C11</f>
        <v>0</v>
      </c>
      <c r="D23" s="44">
        <f>'Plant Model'!D11</f>
        <v>0</v>
      </c>
    </row>
    <row r="24" spans="1:13">
      <c r="A24" s="44">
        <f>'Plant Model'!A12</f>
        <v>0</v>
      </c>
      <c r="B24" s="44">
        <f>'Plant Model'!B12</f>
        <v>0</v>
      </c>
      <c r="C24" s="44">
        <f>'Plant Model'!C12</f>
        <v>0</v>
      </c>
      <c r="D24" s="44">
        <f>'Plant Model'!D12</f>
        <v>0</v>
      </c>
    </row>
    <row r="25" spans="1:13">
      <c r="A25" s="44" t="s">
        <v>166</v>
      </c>
      <c r="B25" s="44"/>
      <c r="C25" s="44"/>
      <c r="D25" s="44"/>
      <c r="E25">
        <f>SUBTOTAL(109,Table15[Downtime Viewer (DTVR)])</f>
        <v>0</v>
      </c>
      <c r="F25">
        <f>SUBTOTAL(109,Table15[Manual Data Entry System (MDES)])</f>
        <v>0</v>
      </c>
      <c r="G25">
        <f>SUBTOTAL(109,Table15[Call for Help])</f>
        <v>0</v>
      </c>
      <c r="H25">
        <f>SUBTOTAL(109,Table15[Call for Parts])</f>
        <v>0</v>
      </c>
      <c r="I25">
        <f>SUBTOTAL(109,Table15[Energy Consumption])</f>
        <v>0</v>
      </c>
      <c r="J25">
        <f>SUBTOTAL(109,Table15[Utility Consumption])</f>
        <v>0</v>
      </c>
      <c r="K25">
        <f>SUBTOTAL(109,Table15[Process Verification])</f>
        <v>0</v>
      </c>
      <c r="L25">
        <f>SUBTOTAL(109,Table15[Condition Monitoring])</f>
        <v>0</v>
      </c>
      <c r="M25">
        <f>SUBTOTAL(109,Table15[Pick to Light])</f>
        <v>0</v>
      </c>
    </row>
    <row r="34" collapsed="1"/>
    <row r="35" hidden="1"/>
    <row r="36" hidden="1"/>
  </sheetData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327C40CD011489E31D26E5E82CE3E" ma:contentTypeVersion="19" ma:contentTypeDescription="Create a new document." ma:contentTypeScope="" ma:versionID="8d645d65e9608683f0aa3e2ad4ef6f79">
  <xsd:schema xmlns:xsd="http://www.w3.org/2001/XMLSchema" xmlns:xs="http://www.w3.org/2001/XMLSchema" xmlns:p="http://schemas.microsoft.com/office/2006/metadata/properties" xmlns:ns2="76233c6f-7abc-462e-9305-1d2048dfa8ef" xmlns:ns3="50a578a1-39f3-4ad7-8ca0-f96bcb65fb54" targetNamespace="http://schemas.microsoft.com/office/2006/metadata/properties" ma:root="true" ma:fieldsID="4b6b93ff55254ad35f077968412e7a4e" ns2:_="" ns3:_="">
    <xsd:import namespace="76233c6f-7abc-462e-9305-1d2048dfa8ef"/>
    <xsd:import namespace="50a578a1-39f3-4ad7-8ca0-f96bcb65fb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Pictur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33c6f-7abc-462e-9305-1d2048dfa8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Picture" ma:index="18" nillable="true" ma:displayName="Picture" ma:format="Image" ma:internalName="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875ca8d9-acfc-4ca9-b29e-ea14934669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578a1-39f3-4ad7-8ca0-f96bcb65fb5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bd395b2-4f18-426f-95b8-541c8b957512}" ma:internalName="TaxCatchAll" ma:showField="CatchAllData" ma:web="50a578a1-39f3-4ad7-8ca0-f96bcb65fb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0a578a1-39f3-4ad7-8ca0-f96bcb65fb54">
      <UserInfo>
        <DisplayName/>
        <AccountId xsi:nil="true"/>
        <AccountType/>
      </UserInfo>
    </SharedWithUsers>
    <TaxCatchAll xmlns="50a578a1-39f3-4ad7-8ca0-f96bcb65fb54" xsi:nil="true"/>
    <lcf76f155ced4ddcb4097134ff3c332f xmlns="76233c6f-7abc-462e-9305-1d2048dfa8ef">
      <Terms xmlns="http://schemas.microsoft.com/office/infopath/2007/PartnerControls"/>
    </lcf76f155ced4ddcb4097134ff3c332f>
    <Picture xmlns="76233c6f-7abc-462e-9305-1d2048dfa8ef">
      <Url xsi:nil="true"/>
      <Description xsi:nil="true"/>
    </Picture>
  </documentManagement>
</p:properties>
</file>

<file path=customXml/itemProps1.xml><?xml version="1.0" encoding="utf-8"?>
<ds:datastoreItem xmlns:ds="http://schemas.openxmlformats.org/officeDocument/2006/customXml" ds:itemID="{3289B384-B24A-44D5-AE63-26F4924D6573}"/>
</file>

<file path=customXml/itemProps2.xml><?xml version="1.0" encoding="utf-8"?>
<ds:datastoreItem xmlns:ds="http://schemas.openxmlformats.org/officeDocument/2006/customXml" ds:itemID="{8624A07A-37E5-4394-B36B-6ADE45B13055}"/>
</file>

<file path=customXml/itemProps3.xml><?xml version="1.0" encoding="utf-8"?>
<ds:datastoreItem xmlns:ds="http://schemas.openxmlformats.org/officeDocument/2006/customXml" ds:itemID="{C355C87C-16C8-4163-8E31-C0A862C51E59}"/>
</file>

<file path=customXml/itemProps4.xml><?xml version="1.0" encoding="utf-8"?>
<ds:datastoreItem xmlns:ds="http://schemas.openxmlformats.org/officeDocument/2006/customXml" ds:itemID="{7D5AD20A-01F7-456F-9E84-915C37DFC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Yolanda Bernal</dc:creator>
  <cp:keywords/>
  <dc:description/>
  <cp:lastModifiedBy/>
  <cp:revision/>
  <dcterms:created xsi:type="dcterms:W3CDTF">2017-01-20T16:01:34Z</dcterms:created>
  <dcterms:modified xsi:type="dcterms:W3CDTF">2026-03-23T10:51:11Z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0x010100E32327C40CD011489E31D26E5E82CE3E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ediaServiceImageTags">
    <vt:lpwstr/>
  </property>
</Properties>
</file>